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lenovo\Desktop\车队-接手后工作、思考\必要日程\赛事提交文件\"/>
    </mc:Choice>
  </mc:AlternateContent>
  <xr:revisionPtr revIDLastSave="0" documentId="8_{D6D50F15-409F-49F4-9D99-23C87D67E642}" xr6:coauthVersionLast="47" xr6:coauthVersionMax="47" xr10:uidLastSave="{00000000-0000-0000-0000-000000000000}"/>
  <bookViews>
    <workbookView xWindow="-83" yWindow="0" windowWidth="10965" windowHeight="12863" firstSheet="2" activeTab="2" xr2:uid="{0D1E4E6A-28C6-46E0-BC92-6F04944D7026}"/>
  </bookViews>
  <sheets>
    <sheet name="简介 " sheetId="1" r:id="rId1"/>
    <sheet name="Intro" sheetId="2" r:id="rId2"/>
    <sheet name="定义 + 严重性，出现频度，检查" sheetId="3" r:id="rId3"/>
    <sheet name="Definitions + Sev, Occ, Det" sheetId="4" r:id="rId4"/>
    <sheet name="FMEA (CN)" sheetId="5" r:id="rId5"/>
    <sheet name="FMEA(EN)" sheetId="6" r:id="rId6"/>
    <sheet name="修订历史" sheetId="7" r:id="rId7"/>
  </sheets>
  <calcPr calcId="191029"/>
  <fileRecoveryPr dataExtract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03" i="5" l="1"/>
  <c r="O102" i="5"/>
  <c r="O101" i="5"/>
  <c r="O100" i="5"/>
  <c r="O99" i="5"/>
  <c r="O98" i="5"/>
  <c r="O97" i="5"/>
  <c r="O96" i="5"/>
  <c r="O95" i="5"/>
  <c r="O94" i="5"/>
  <c r="O93" i="5"/>
  <c r="O92" i="5"/>
  <c r="O91" i="5"/>
  <c r="O90" i="5"/>
  <c r="O89" i="5"/>
  <c r="O88" i="5"/>
  <c r="O87" i="5"/>
  <c r="O86" i="5"/>
  <c r="O85" i="5"/>
  <c r="O84" i="5"/>
  <c r="O83" i="5"/>
  <c r="O82" i="5"/>
  <c r="O81" i="5"/>
  <c r="O80" i="5"/>
  <c r="O79" i="5"/>
  <c r="O78" i="5"/>
  <c r="O77" i="5"/>
  <c r="O76" i="5"/>
  <c r="O75" i="5"/>
  <c r="O74" i="5"/>
  <c r="O73" i="5"/>
  <c r="O72" i="5"/>
  <c r="O71" i="5"/>
  <c r="O70" i="5"/>
  <c r="O69" i="5"/>
  <c r="O68" i="5"/>
  <c r="O67" i="5"/>
  <c r="O66" i="5"/>
  <c r="O65" i="5"/>
  <c r="O64" i="5"/>
  <c r="O63" i="5"/>
  <c r="O62" i="5"/>
  <c r="O61" i="5"/>
  <c r="O60" i="5"/>
  <c r="O59" i="5"/>
  <c r="O58" i="5"/>
  <c r="O57" i="5"/>
  <c r="O56" i="5"/>
  <c r="O55" i="5"/>
  <c r="O54" i="5"/>
  <c r="O53" i="5"/>
  <c r="O52" i="5"/>
  <c r="O51" i="5"/>
  <c r="O50" i="5"/>
  <c r="O49" i="5"/>
  <c r="O48" i="5"/>
  <c r="O47" i="5"/>
  <c r="O46" i="5"/>
  <c r="O45" i="5"/>
  <c r="O44" i="5"/>
  <c r="O43" i="5"/>
  <c r="O42" i="5"/>
  <c r="O41" i="5"/>
  <c r="O40" i="5"/>
  <c r="O39" i="5"/>
  <c r="O38" i="5"/>
  <c r="O37" i="5"/>
  <c r="O36" i="5"/>
  <c r="O35" i="5"/>
  <c r="O34" i="5"/>
  <c r="O33" i="5"/>
  <c r="O32" i="5"/>
  <c r="O31" i="5"/>
  <c r="O30" i="5"/>
  <c r="O29" i="5"/>
  <c r="O28" i="5"/>
  <c r="O27" i="5"/>
  <c r="O26" i="5"/>
  <c r="O25" i="5"/>
  <c r="O24" i="5"/>
  <c r="O23" i="5"/>
  <c r="O22" i="5"/>
  <c r="O21" i="5"/>
  <c r="O20" i="5"/>
  <c r="O19" i="5"/>
  <c r="O18" i="5"/>
  <c r="O17" i="5"/>
  <c r="O16" i="5"/>
  <c r="O15" i="5"/>
  <c r="O14" i="5"/>
  <c r="O13" i="5"/>
  <c r="O12" i="5"/>
  <c r="O11" i="5"/>
  <c r="O10" i="5"/>
  <c r="O9" i="5"/>
  <c r="O8" i="5"/>
  <c r="O7" i="5"/>
  <c r="O6" i="5"/>
  <c r="O5" i="5"/>
  <c r="O5" i="6"/>
  <c r="O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64" i="6"/>
  <c r="O65" i="6"/>
  <c r="O66" i="6"/>
  <c r="O67" i="6"/>
  <c r="O68" i="6"/>
  <c r="O69" i="6"/>
  <c r="O70" i="6"/>
  <c r="O71" i="6"/>
  <c r="O72" i="6"/>
  <c r="O73" i="6"/>
  <c r="O74" i="6"/>
  <c r="O75" i="6"/>
  <c r="O76" i="6"/>
  <c r="O77" i="6"/>
  <c r="O78" i="6"/>
  <c r="O79" i="6"/>
  <c r="O80" i="6"/>
  <c r="O81" i="6"/>
  <c r="O82" i="6"/>
  <c r="O83" i="6"/>
  <c r="O84" i="6"/>
  <c r="O85" i="6"/>
  <c r="O86" i="6"/>
  <c r="O87" i="6"/>
  <c r="O88" i="6"/>
  <c r="O89" i="6"/>
  <c r="O90" i="6"/>
  <c r="O91" i="6"/>
  <c r="O92" i="6"/>
  <c r="O93" i="6"/>
  <c r="O94" i="6"/>
  <c r="O95" i="6"/>
  <c r="O96" i="6"/>
  <c r="O97" i="6"/>
  <c r="O98" i="6"/>
  <c r="O99" i="6"/>
  <c r="O100" i="6"/>
  <c r="O101" i="6"/>
  <c r="O102" i="6"/>
  <c r="O103" i="6"/>
</calcChain>
</file>

<file path=xl/sharedStrings.xml><?xml version="1.0" encoding="utf-8"?>
<sst xmlns="http://schemas.openxmlformats.org/spreadsheetml/2006/main" count="1585" uniqueCount="915">
  <si>
    <t>2025 FMEA</t>
  </si>
  <si>
    <t>车号</t>
  </si>
  <si>
    <t>Exx</t>
  </si>
  <si>
    <t>学校</t>
  </si>
  <si>
    <t>本模板包含两个填写好的例子来说明如何完成FMEA。其次模板里包含了应当被考虑的部分失效模式。注意：不是每种失效模式适应于车队的赛车。根据设计的不同，不同项目可以不完成。同样，因为设计的特殊性也可以再最后添加失效模式。</t>
  </si>
  <si>
    <t>根据车队的设计修改已经完成的例子。根据赛车设计加入必要的失效模式分析。尽可能考虑所有的失效模式，任何可能影响车辆安全，驾驶员安全或者周围人员安全的模式都应该被分析。提交前请确保已经完整填写，这样可以保证审核的快速通过。</t>
  </si>
  <si>
    <t>橙色的部分需要填写车队信息，填写后将背景色重置为白色</t>
  </si>
  <si>
    <t>车队自己增加的失效模式应当添加在表格背后以保证原有序号不变，保证审核顺利进行。禁止删除任何项目，如果不适用请填写“不适用”以及简短的原因说明。</t>
  </si>
  <si>
    <t>禁止改动本模板</t>
  </si>
  <si>
    <t>Car Number</t>
  </si>
  <si>
    <t>School</t>
  </si>
  <si>
    <t>This template contains two of examples of how to fill out the FMEA. Furthermore, it contains a number of failure modes which are both starting points and examples for the failures to be covered in your team's FMEA. NOTE: Not every given failure may apply to every team's system. The given failures may also be incomplete with respect to your specific system. Add failures to the list, if appropriate for your system.</t>
  </si>
  <si>
    <t>Modify the completed example according to the design of the fleet. Add necessary failure mode analysis based on the racing car design. All failure modes should be considered as much as possible. Any mode that may affect vehicle safety, driver safety or the safety of surrounding people should be analyzed. Please make sure to fill it out completely before submitting to ensure quick review.</t>
  </si>
  <si>
    <t>The orange part requires filling in the team information. After filling in, the background color will be reset to white.</t>
  </si>
  <si>
    <t>The failure modes added by the team themselves should be added to the back of the form to ensure that the original serial numbers remain unchanged and the review proceeds smoothly. Deletion of any item is prohibited, if not applicable please fill in "Not applicable" and a brief explanation of the reason.</t>
  </si>
  <si>
    <t>Modification of this template is prohibited</t>
  </si>
  <si>
    <t xml:space="preserve">FMEA每列表头定义以及分级标准 </t>
  </si>
  <si>
    <t>等级</t>
  </si>
  <si>
    <t>严重性</t>
  </si>
  <si>
    <t>出现频度</t>
  </si>
  <si>
    <t>检查</t>
  </si>
  <si>
    <t>不会造成人员受伤，但是对安全有影响</t>
  </si>
  <si>
    <t>非常不可能发生</t>
  </si>
  <si>
    <t>必然能检查到</t>
  </si>
  <si>
    <t>造成人员轻伤</t>
  </si>
  <si>
    <t>较为不可能发生</t>
  </si>
  <si>
    <t>高概率能检查到</t>
  </si>
  <si>
    <t>造成人员受到中度伤害</t>
  </si>
  <si>
    <t>偶尔发生</t>
  </si>
  <si>
    <t>中等概率能检查到</t>
  </si>
  <si>
    <t>造成人员重伤</t>
  </si>
  <si>
    <t>频繁发生</t>
  </si>
  <si>
    <t>小概率能检查到</t>
  </si>
  <si>
    <t>可能造成致命伤害</t>
  </si>
  <si>
    <t>持续地或必然发生</t>
  </si>
  <si>
    <t>无法被检查到</t>
  </si>
  <si>
    <t>部件/项目</t>
  </si>
  <si>
    <t>受到影响的系统或部件</t>
  </si>
  <si>
    <t>功能</t>
  </si>
  <si>
    <t>系统或部件的功能</t>
  </si>
  <si>
    <t>失效模式</t>
  </si>
  <si>
    <t>部件出现何种失效</t>
  </si>
  <si>
    <t>失效原因</t>
  </si>
  <si>
    <t>失效的原因</t>
  </si>
  <si>
    <t>失效影响 - 局部</t>
  </si>
  <si>
    <t>该失效对该部件本身造成的影响</t>
  </si>
  <si>
    <t>失效影响 - 全局</t>
  </si>
  <si>
    <t>该失效对其他系统或者车辆整体的影响</t>
  </si>
  <si>
    <t>Sev</t>
  </si>
  <si>
    <t>严重性等级</t>
  </si>
  <si>
    <t>严重性评级理由</t>
  </si>
  <si>
    <t>评级理由阐述</t>
  </si>
  <si>
    <t>Occ</t>
  </si>
  <si>
    <t>出现频度等级</t>
  </si>
  <si>
    <t>出现频度评级理由</t>
  </si>
  <si>
    <t>失效模式检测</t>
  </si>
  <si>
    <t>如何检测失效发生-车上的何种系统进行检测</t>
  </si>
  <si>
    <t>Det</t>
  </si>
  <si>
    <t>检测评级</t>
  </si>
  <si>
    <t>检测评级理由</t>
  </si>
  <si>
    <t>风险</t>
  </si>
  <si>
    <t>通过Sev, Occ和Det自动运算得出</t>
  </si>
  <si>
    <t>失效处理 - 车辆</t>
  </si>
  <si>
    <t>如果失效出现，车辆和车手应当如何应对</t>
  </si>
  <si>
    <t>失效处理 - 车队</t>
  </si>
  <si>
    <t>如何判断是何种失效出现，采取什么措施诊断？
需要采取怎么样的保护措施？</t>
  </si>
  <si>
    <t>FMEA definitions of column headers and Key for Severity, Occurance and Detection ratings</t>
  </si>
  <si>
    <t>Rating</t>
  </si>
  <si>
    <t>Severity (Sev)</t>
  </si>
  <si>
    <t>Occurrence (Occ)</t>
  </si>
  <si>
    <t>Detection (Det)</t>
  </si>
  <si>
    <t>No injuries may be caused, but general safety is affected by this failure</t>
  </si>
  <si>
    <t>Failure occurrence is very unlikely</t>
  </si>
  <si>
    <t>Certain detection of the failure</t>
  </si>
  <si>
    <t>Light injuries may be caused by this failure</t>
  </si>
  <si>
    <t>Relatively few failure occurrence</t>
  </si>
  <si>
    <t>High chance of detecting this failure</t>
  </si>
  <si>
    <t>Medium injuries may be caused by this failure</t>
  </si>
  <si>
    <t>Occasional failure occurrence</t>
  </si>
  <si>
    <t>Medium chance of detecting this failure</t>
  </si>
  <si>
    <t>Heavy injuries may be caused by this failure</t>
  </si>
  <si>
    <t>Frequent failure occurrence</t>
  </si>
  <si>
    <t>Low chance of detecting this failure</t>
  </si>
  <si>
    <t>Fatal injuries may be caused by this failure</t>
  </si>
  <si>
    <t>Persistent failure occurrence</t>
  </si>
  <si>
    <t>Failure cannot be detected</t>
  </si>
  <si>
    <t>Component/Item</t>
  </si>
  <si>
    <t>The system or component that is affected</t>
  </si>
  <si>
    <t>Function</t>
  </si>
  <si>
    <t>What the system or component does</t>
  </si>
  <si>
    <t>Failure Mode</t>
  </si>
  <si>
    <t>The method by which the component fails</t>
  </si>
  <si>
    <t>Failure Cause</t>
  </si>
  <si>
    <t>The root cause of the failure</t>
  </si>
  <si>
    <t>Failure Effect Local</t>
  </si>
  <si>
    <t>What happens locally to the component as a consequence of the failure</t>
  </si>
  <si>
    <t>Failure Effect Global</t>
  </si>
  <si>
    <t>What happens to other systems or the rest of the vehicle as a
 consequence of the failure</t>
  </si>
  <si>
    <t>The severity rating - see table above</t>
  </si>
  <si>
    <t>Severity Reasoning</t>
  </si>
  <si>
    <t>Your reasoning for the severity rating that is given</t>
  </si>
  <si>
    <t>The likelihood of the occurrence - see table above</t>
  </si>
  <si>
    <t>Occurrence Reasoning</t>
  </si>
  <si>
    <t>Your reasoning for the occurance rating that is given</t>
  </si>
  <si>
    <t>Failure Detection</t>
  </si>
  <si>
    <t>How will the failure be detected - what are the systems on the car that
 detect this</t>
  </si>
  <si>
    <t>The rating for failure detection - see table</t>
  </si>
  <si>
    <t>Detection Reasoning</t>
  </si>
  <si>
    <t>Your reasoning for the failure detection rating</t>
  </si>
  <si>
    <t>Risk</t>
  </si>
  <si>
    <t>Calculated automatically from Sev, Occ and Det</t>
  </si>
  <si>
    <t>Failure Handling - Vehicle</t>
  </si>
  <si>
    <t>Once a failure has been detected, what is the immediate reaction of 
the ECU / AMS and the driver to mitigate the risk</t>
  </si>
  <si>
    <t>Failure Handling - Team</t>
  </si>
  <si>
    <t>How do you determine what has failed and what type of action is taken
 to remedy this?  What precautions do you take whilst doing this?</t>
  </si>
  <si>
    <t>2025中国大学生电动方程式-失效模式与影响分析</t>
  </si>
  <si>
    <t>联系方式</t>
  </si>
  <si>
    <t>Electra Watt, Electra.Watt@mail.com</t>
  </si>
  <si>
    <t>FMEA No.:</t>
  </si>
  <si>
    <t>失效影响</t>
  </si>
  <si>
    <t>注释/说明</t>
  </si>
  <si>
    <t>局部</t>
  </si>
  <si>
    <t>全局</t>
  </si>
  <si>
    <t>驱动系统线缆</t>
  </si>
  <si>
    <t>能量传输</t>
  </si>
  <si>
    <t>绝缘失效，正极或者负极母线与低压系统接触</t>
  </si>
  <si>
    <t>绝缘损伤或者击穿。连接处的屏蔽层短路。压接端子时操作不当有线缆未被压入。高压器件内部故障（电机，电机控制器，电池箱，IMD）。电芯绝缘出现问题。错误接线。异物侵入高压系统（事故损伤）。高压系统壳体/装置进水。</t>
  </si>
  <si>
    <t>通过车架/单体壳使人体和高压一极接触。可能导致在意外触碰另一极时造成触电。</t>
  </si>
  <si>
    <t>如果IMD工作，车辆驱动系统急停。这会导致驱动力丧失并且可能造成控制问题。IMD功能失效，在意外接触的情况下，车手，车队队员以及周围人员都有可能触电。车辆不能安全运行，甚至维护检修都不安全。</t>
  </si>
  <si>
    <t>如果只接触到了高压线一极，另一极绝缘未失效，不会触电。评级理由通常时基于意外接触了另一极的情况。当此类情况出现时，触电烧伤，抽搐都可能发生。心脏骤停等情况会致命。</t>
  </si>
  <si>
    <t xml:space="preserve">绝缘材料的选择是基于环境和电压等级的。必要的地方均有热或者机械方面的保护。所有的线束都妥善固定且妥善保护避免受到磨损或者挤压。电池绝缘在装配时检验且电芯妥善固定以防止绝缘失效。线束在制作过程的每一步都被检查。然而，直到整车测试，这些设计因素可能都没有被检查，所以一些疏忽在首次测试的时候可能被忽略了。车辆设计考虑了处理事故撞击，然而事故模式很多样，难以考虑到所有情况。 </t>
  </si>
  <si>
    <t>绝缘电阻检测系统</t>
  </si>
  <si>
    <t>IMD检测高压系统和控制系统之间的绝缘故障，是产品级的设备，经过测试可以适用赛车中的各种工况。IMD会按照说明书要求安装，且妥善防护震动和冲击。IMD产品已经被充分证明能够胜任大学生方程式级别的工况。为了保证IMD检测效果，确保其接地检测线和车架的低阻抗连接。</t>
  </si>
  <si>
    <t>IMD检测到故障的情况下,安全回路被切断，驱动系统去能，IMD指示器点亮以提示车手。</t>
  </si>
  <si>
    <t>由于IMD关闭了驱动系统，车辆失去动力但是车手仍然可以转向和制动，并且安全地停车。车辆会被推至维修区，推车人员需要穿戴所有防护器具（合规的高压手套，护目镜，摘除所有首饰）。维修区会被隔离，只有专业的队员在配套防护器具之后才能入内检修赛车。绝缘检测设备，例如带有此功能的万用表，将被用来诊断和定位此故障。修复故障之后，车辆必须进行绝缘电阻测试和绝缘检测装置测试来确保安全。除非绝缘故障已经被完全排除了，禁止闭合AIRs。</t>
  </si>
  <si>
    <t>驱动系统未妥善连接，可能造成驱动系统电压暴露</t>
  </si>
  <si>
    <t>HVD/驱动系统接插件在跑动的时候松动并且最终断开，暴露高电压</t>
  </si>
  <si>
    <t>驱动系统熔断</t>
  </si>
  <si>
    <t>保护驱动系统线缆</t>
  </si>
  <si>
    <t>短路电流值大于保险丝最大开断电流</t>
  </si>
  <si>
    <t>电池箱</t>
  </si>
  <si>
    <t>能量储存</t>
  </si>
  <si>
    <t>放电时电芯温度高于说明书允许值</t>
  </si>
  <si>
    <t>充电时电芯温度高于说明书允许值</t>
  </si>
  <si>
    <t>电芯电压高于说明书允许值</t>
  </si>
  <si>
    <t>电芯电压低于说明书允许值</t>
  </si>
  <si>
    <t>放电时放电电流高于说明书允许值</t>
  </si>
  <si>
    <t>充电时充电电流高于说明书允许值</t>
  </si>
  <si>
    <t>冷却系统（风冷，液冷）失效</t>
  </si>
  <si>
    <t>电池箱受到碰撞冲击/电芯结构受损</t>
  </si>
  <si>
    <t>加速踏板位置传感器</t>
  </si>
  <si>
    <t>传递加速踏板位置信号</t>
  </si>
  <si>
    <t>传感器1和传感器2指示不同踏板位置</t>
  </si>
  <si>
    <t>传感器1或传感器2（数字或模拟）信号不可靠</t>
  </si>
  <si>
    <t>传感器1或传感器2与加速踏板机械连接断开</t>
  </si>
  <si>
    <t>传感器输出的信号连接（模拟或数字）受损</t>
  </si>
  <si>
    <t>踏板卡在满量程位置</t>
  </si>
  <si>
    <t>传感器和接收端的数字信号不可靠（例如，数据位受到电磁干扰）</t>
  </si>
  <si>
    <t>ECU到电机控制器的信号连接（模拟和数字）断开</t>
  </si>
  <si>
    <t>电池箱绝缘继电器</t>
  </si>
  <si>
    <t>断开电池箱电气连接</t>
  </si>
  <si>
    <t>单一电池箱绝缘继电器卡住无法断开</t>
  </si>
  <si>
    <t>两极电池箱绝缘继电器卡住无法断开</t>
  </si>
  <si>
    <t>单一电池箱绝缘继电器控制线断开</t>
  </si>
  <si>
    <t>两极电池箱绝缘继电器控制线断开</t>
  </si>
  <si>
    <t>预充电继电器</t>
  </si>
  <si>
    <t>预充电</t>
  </si>
  <si>
    <t>预充电继电器卡住无法断开</t>
  </si>
  <si>
    <t>预充电继电器控制线断开</t>
  </si>
  <si>
    <t>预充电电阻</t>
  </si>
  <si>
    <t>预充电电阻损坏或者开路</t>
  </si>
  <si>
    <t>放电继电器</t>
  </si>
  <si>
    <t>中间电容放电</t>
  </si>
  <si>
    <t>放电继电器卡住无法断开</t>
  </si>
  <si>
    <t>放电继电器控制线断开</t>
  </si>
  <si>
    <t>放电电阻</t>
  </si>
  <si>
    <t>放电电阻损坏或者开路</t>
  </si>
  <si>
    <t>电机控制器/逆变器</t>
  </si>
  <si>
    <t>控制电机输出</t>
  </si>
  <si>
    <t>电机控制器输出端开路</t>
  </si>
  <si>
    <t>电机控制器控制信号断开</t>
  </si>
  <si>
    <t>电机控制器输出不可靠，无法正确对应输入的控制信号</t>
  </si>
  <si>
    <t>电机旋变器</t>
  </si>
  <si>
    <t>测量电机的转角位置</t>
  </si>
  <si>
    <t>电机旋变失效</t>
  </si>
  <si>
    <t>绝缘检测装置</t>
  </si>
  <si>
    <t>测量驱动系统和控制系统的绝缘电阻</t>
  </si>
  <si>
    <t>IMD到HV+，HV-或者是低压地的连接断开</t>
  </si>
  <si>
    <t>IMD的低压供电失效</t>
  </si>
  <si>
    <t>IMD故障</t>
  </si>
  <si>
    <t>IMD到其控制的安全回路继电器的信号线断开</t>
  </si>
  <si>
    <t>IMD控制的继电器/三极管损坏</t>
  </si>
  <si>
    <t>IMD未安装</t>
  </si>
  <si>
    <t>电池管理系统</t>
  </si>
  <si>
    <t>监控电池状况</t>
  </si>
  <si>
    <t>电池管理系统主控故障（例如控制器/软件错误）</t>
  </si>
  <si>
    <t>电池管理系统从控故障（例如控制器/软件错误）</t>
  </si>
  <si>
    <t>温度传感器故障</t>
  </si>
  <si>
    <t>温度传感器到AMS的连接断开</t>
  </si>
  <si>
    <t>电压检测输入故障</t>
  </si>
  <si>
    <t>电压检测线断开</t>
  </si>
  <si>
    <t>电压检测线过流</t>
  </si>
  <si>
    <t>电池管理系统主控和从控的信号线断开</t>
  </si>
  <si>
    <t>AMS控制的继电器/三极管损坏</t>
  </si>
  <si>
    <t>AMS到其控制的安全回路继电器的信号线断开</t>
  </si>
  <si>
    <t>AMS低压供电失效</t>
  </si>
  <si>
    <t>均衡控制开关器件短路</t>
  </si>
  <si>
    <t>AMS主控和从控之间的通讯受干扰（例如数据位受到电磁干扰错误）</t>
  </si>
  <si>
    <t>AMS没有安装</t>
  </si>
  <si>
    <t>驱动系统激活指示灯</t>
  </si>
  <si>
    <t>显示驱动系统状态</t>
  </si>
  <si>
    <t>灯故障无法点亮</t>
  </si>
  <si>
    <t>TSAL在未激活的情况下进入红色闪烁</t>
  </si>
  <si>
    <t>任一到TS+和TS-的测量线断开</t>
  </si>
  <si>
    <t>TSAL供电断开</t>
  </si>
  <si>
    <t>电池箱高压指示器</t>
  </si>
  <si>
    <t>指示AIR之外出现高于60V的电压</t>
  </si>
  <si>
    <t>指示AIR之外出现高于61V的电压</t>
  </si>
  <si>
    <t>失去供电</t>
  </si>
  <si>
    <t>启动鸣笛</t>
  </si>
  <si>
    <t>指示车辆进入待驶状态</t>
  </si>
  <si>
    <t>启动鸣笛不可闻</t>
  </si>
  <si>
    <t>制动系统可靠性检测装置</t>
  </si>
  <si>
    <t>检查制动传感器和电机输入功率的关系可靠性</t>
  </si>
  <si>
    <t>制动踏板传感器故障</t>
  </si>
  <si>
    <t>制动传感器输出信号（模拟或数字）连接受损</t>
  </si>
  <si>
    <t>电流传感器受损</t>
  </si>
  <si>
    <t>电流传感器输出信号（模拟或数字）连接受损</t>
  </si>
  <si>
    <t>BSPD低压供电失效</t>
  </si>
  <si>
    <t>BSPD控制的继电器/三极管损坏</t>
  </si>
  <si>
    <t>BSPD到其控制的安全回路继电器的信号线断开</t>
  </si>
  <si>
    <t>BSPD没有安装</t>
  </si>
  <si>
    <t>制动超程开关</t>
  </si>
  <si>
    <t>检查制动踏板超出正常行程范围</t>
  </si>
  <si>
    <t>安全回路的电气开关连接断开</t>
  </si>
  <si>
    <t>开关受损/无法转换开断</t>
  </si>
  <si>
    <t>侧面急停开关</t>
  </si>
  <si>
    <t>推入时断开安全回路</t>
  </si>
  <si>
    <t>驾驶舱急停开关</t>
  </si>
  <si>
    <t>驱动系统主开关</t>
  </si>
  <si>
    <t>关闭驱动系统</t>
  </si>
  <si>
    <t>低压系统主开关</t>
  </si>
  <si>
    <t>关闭低压系统</t>
  </si>
  <si>
    <t>惯性开关</t>
  </si>
  <si>
    <t>在撞击时断开安全回路</t>
  </si>
  <si>
    <t>惯性开关未安装</t>
  </si>
  <si>
    <t>驱动系统测量点</t>
  </si>
  <si>
    <t>快速测量驱动系统电压</t>
  </si>
  <si>
    <t>到TS+和TS-的任一连接断开</t>
  </si>
  <si>
    <t>低压-DC/DC 转换器</t>
  </si>
  <si>
    <t>将驱动系统电压转化为低压系统电压</t>
  </si>
  <si>
    <t>DC/DC 输入电流过大</t>
  </si>
  <si>
    <t>DC/DC使高压电池过放</t>
  </si>
  <si>
    <t>DC/DC过热</t>
  </si>
  <si>
    <t>低压输出短路</t>
  </si>
  <si>
    <t>低压系统电源</t>
  </si>
  <si>
    <t>给低压系统供电</t>
  </si>
  <si>
    <t>低压系统电源电压过低</t>
  </si>
  <si>
    <t>车辆动力动力学控制/ECU</t>
  </si>
  <si>
    <t>对扭矩请求添加算法干预</t>
  </si>
  <si>
    <t>车辆动力动力学控制/ECU故障</t>
  </si>
  <si>
    <t>车辆动力动力学控制</t>
  </si>
  <si>
    <t>方向盘传感器到该ECU的连接受损</t>
  </si>
  <si>
    <t>方向盘传感器信号故障</t>
  </si>
  <si>
    <t>加速踏板传感器到该ECU的连接受损</t>
  </si>
  <si>
    <t>加速踏板传感器信号故障</t>
  </si>
  <si>
    <t>轮速传感器到该ECU的连接受损</t>
  </si>
  <si>
    <t>轮速传感器信号故障</t>
  </si>
  <si>
    <t>能量回收功能/ECU</t>
  </si>
  <si>
    <t>控制能量回收</t>
  </si>
  <si>
    <t>能量回收功能/ECU故障</t>
  </si>
  <si>
    <t>相关传感器故障</t>
  </si>
  <si>
    <t>相关传感器信号传输受损</t>
  </si>
  <si>
    <t>后轮回收制动在高速时误触发</t>
  </si>
  <si>
    <t>充电机</t>
  </si>
  <si>
    <t>控制向电池箱充电</t>
  </si>
  <si>
    <t>在未连接时高压接插件存在高压</t>
  </si>
  <si>
    <t>电池管理系统检测到出现任一种类故障</t>
  </si>
  <si>
    <t>2023Chinese student formula electric-Failure Mode and Effects Analysis</t>
  </si>
  <si>
    <t>Car number</t>
  </si>
  <si>
    <t>University</t>
  </si>
  <si>
    <t>Contact information</t>
  </si>
  <si>
    <t>failure mode</t>
  </si>
  <si>
    <t>Reason for failure</t>
  </si>
  <si>
    <t>Effect of failure</t>
  </si>
  <si>
    <t>Severity rating rationale</t>
  </si>
  <si>
    <t>occ</t>
  </si>
  <si>
    <t>Reason for frequency rating</t>
  </si>
  <si>
    <t>Failure mode detection</t>
  </si>
  <si>
    <t>Test rating</t>
  </si>
  <si>
    <t xml:space="preserve"> Failure handling -vehicle</t>
  </si>
  <si>
    <t xml:space="preserve"> Failure handling -convoy</t>
  </si>
  <si>
    <t>Comment/illustrate</t>
  </si>
  <si>
    <t>local</t>
  </si>
  <si>
    <t>overall situation</t>
  </si>
  <si>
    <t>Tractive System Wiring</t>
  </si>
  <si>
    <t>Energy transfer</t>
  </si>
  <si>
    <t>Insulation failure, positive or negative busbar contact with low voltage system</t>
  </si>
  <si>
    <t>Insulation damage or breakdown. The shield at the connection is short-circuited. The cable was not crimped in due to improper operation when crimping the terminal. Internal failure of high-voltage components (motor, motor controller, battery box,IMD). There is a problem with the cell insulation. Wrong wiring. Intrusion of foreign objects into the high-voltage system (accidental damage). High pressure system housing/Water has entered the unit.</t>
  </si>
  <si>
    <t>Through the frame/The monocoque shell puts the human body in contact with the high-voltage pole. May cause electric shock if the other pole is accidentally touched.</t>
  </si>
  <si>
    <t>If IMD work, the vehicle drive system comes to an emergency stop. This results in a loss of drive and may cause control problems.IMDIf the function fails, in the event of accidental contact, the driver, team members and surrounding people may be electrocuted. The vehicle cannot be operated safely, and even maintenance and inspection are unsafe.</t>
  </si>
  <si>
    <t>If you only touch one pole of the high-voltage line and the insulation of the other pole has not failed, you will not get an electric shock. Reasons for rating are usually based on accidental contact with the other pole. When this happens, electric shock, burns, and convulsions may occur. Situations such as cardiac arrest can be fatal.</t>
  </si>
  <si>
    <t>Insulation material selection is based on environment and voltage rating. Thermal or mechanical protection is provided where necessary. All wiring harnesses are properly secured and protected from abrasion or pinching. Battery insulation is inspected during assembly and the cells are properly secured to prevent insulation failure. Harnesses are inspected at every step of the manufacturing process. However, these design factors may not be checked until full vehicle testing, so some oversights may be overlooked during first testing. Vehicles are designed to handle accident impacts, however accident modes are so diverse that it is difficult to account for all situations.</t>
  </si>
  <si>
    <t>Insulation resistance detection system</t>
  </si>
  <si>
    <t>IMD it is a product-level device that detects insulation faults between high-voltage systems and control systems. After testing, it can be applied to various working conditions in racing.IMDIt will be installed in accordance with the instructions and properly protected from vibration and impact.IMDThe product has been fully proven to be capable of operating at the Formula Student level. to ensure thatIMDTo test the effect, ensure the low impedance connection between its ground detection wire and the frame.</t>
  </si>
  <si>
    <t>IMD When a fault is detected, the safety circuit is cut off and the drive system is deenergized.IMDThe indicator lights up to alert the rider.</t>
  </si>
  <si>
    <t>Because IMD with the drive system turned off, the vehicle loses power but the driver can still steer and brake, and stop safely. The vehicle will be pushed to the maintenance area, and the person pushing the cart needs to wear all protective equipment (compliant high-voltage gloves, goggles, and remove all jewelry). The maintenance area will be isolated, and only professional team members equipped with protective equipment can enter to inspect the car. Insulation testing equipment, such as a multimeter with this feature, will be used to diagnose and locate this fault. After the fault is repaired, the vehicle must undergo an insulation resistance test and an insulation detection device test to ensure safety. No closing is allowed unless the insulation fault has been completely eliminated.AIRs.</t>
  </si>
  <si>
    <t>Tractive system connection not made, leaving HV potentially exposed when TS is powered up</t>
  </si>
  <si>
    <t>HVD / Tractive System Connectors become loose while driving and eventually open up, exposing live contacts</t>
  </si>
  <si>
    <t>Tractive System Fusing</t>
  </si>
  <si>
    <t>Protection of tractive system wiring</t>
  </si>
  <si>
    <t>Overcurrent is higher than the maximum interrupting current of the used fuse</t>
  </si>
  <si>
    <t>Accumulator</t>
  </si>
  <si>
    <t>Energy Storage</t>
  </si>
  <si>
    <t>Cell temperature above data sheet specification for discharging</t>
  </si>
  <si>
    <t>Cell temperature above data sheet specification for charging</t>
  </si>
  <si>
    <t>Cell voltage above data sheet specification</t>
  </si>
  <si>
    <t>Cell voltage below data sheet specification</t>
  </si>
  <si>
    <t>Cell current above data sheet specification for discharging</t>
  </si>
  <si>
    <t>Cell current above data sheet specification for charging</t>
  </si>
  <si>
    <t>Cooling system (water, air, oil) fails</t>
  </si>
  <si>
    <t>Accumulator is crushed / cells are mechanically damaged</t>
  </si>
  <si>
    <t>APPS</t>
  </si>
  <si>
    <t>Signals the Pedal Position</t>
  </si>
  <si>
    <t>APPS1and APPS2 Indicates different pedal positions</t>
  </si>
  <si>
    <t>Transmit accelerator pedal position signal</t>
  </si>
  <si>
    <t>APP1or APP2The signal (digital or analog) is unreliable</t>
  </si>
  <si>
    <t>APPS1 or APPS2 Mechanically disconnected from the accelerator pedal</t>
  </si>
  <si>
    <t>The signal connection (analog or digital) of the sensor output is damaged</t>
  </si>
  <si>
    <t>Pedal stuck in full range position</t>
  </si>
  <si>
    <t>The digital signals at the sensor and receiver are unreliable (e.g. data bits are subject to electromagnetic interference)</t>
  </si>
  <si>
    <t>ECU Signal connections (analog and digital) to motor controller broken</t>
  </si>
  <si>
    <t>Accumulator Insulation Relay(s)</t>
  </si>
  <si>
    <t>Disconnecting the accumulator</t>
  </si>
  <si>
    <t>Single Accumulator Insulation Relay stuck or welded closed</t>
  </si>
  <si>
    <t>Both Accumulator Insulation Relays stuck or welded closed</t>
  </si>
  <si>
    <t>Single Accumulator Insulation Relay control connection lost</t>
  </si>
  <si>
    <t>Both Accumulator Insulation Relay control connection lost</t>
  </si>
  <si>
    <t>Pre-Charge Relay</t>
  </si>
  <si>
    <t>Pre-Charging the intermediate circuit</t>
  </si>
  <si>
    <t>Pre-Charge Relay stuck or welded closed</t>
  </si>
  <si>
    <t>Pre-Charge Relay control connection lost</t>
  </si>
  <si>
    <t>Pre-Charge Resistor</t>
  </si>
  <si>
    <t>Pre-Charge Resistor broken / open circuit</t>
  </si>
  <si>
    <t>Discharge Relay</t>
  </si>
  <si>
    <t>Discharging the intermediate circuit</t>
  </si>
  <si>
    <t>Discharge Relay stuck or welded closed</t>
  </si>
  <si>
    <t>Discharge Relay control connection lost</t>
  </si>
  <si>
    <t>Discharge resistor</t>
  </si>
  <si>
    <t>Discharge Resistor broken / open circuit</t>
  </si>
  <si>
    <t>Motor Controller / Quad Inverter</t>
  </si>
  <si>
    <t>Controlling the motor power</t>
  </si>
  <si>
    <t>quad inverter output stage short-circuit</t>
  </si>
  <si>
    <t>quad inverter control connection lost (Loss of CAN)</t>
  </si>
  <si>
    <t>quad inverter does not react plausible to control input</t>
  </si>
  <si>
    <t>Control motor output</t>
  </si>
  <si>
    <t>Motor resolver</t>
  </si>
  <si>
    <t>Measure the angular position of the motor</t>
  </si>
  <si>
    <t>quad inverter sensor less algorithm error/fault</t>
  </si>
  <si>
    <t>Insulation Monitoring Device</t>
  </si>
  <si>
    <t>Monitoring the insulation of the tractive system</t>
  </si>
  <si>
    <t>IMD lost connection to any of HV+, HV- or chassis ground</t>
  </si>
  <si>
    <t>IMD lost power supply</t>
  </si>
  <si>
    <t>IMD has a general fault</t>
  </si>
  <si>
    <t>Connection between IMD and powerstage to open the shutdown circuit is broken</t>
  </si>
  <si>
    <t>Relay/transistor controlled by IMD is broken</t>
  </si>
  <si>
    <t>IMD not installed</t>
  </si>
  <si>
    <t>Accumulator Management System</t>
  </si>
  <si>
    <t>Monitor battery condition</t>
  </si>
  <si>
    <t xml:space="preserve">AMS Master has a general fault (CPU/Software erroneous) </t>
  </si>
  <si>
    <t>Monitoring the accumulator condition</t>
  </si>
  <si>
    <t xml:space="preserve">AMS Slave  has a general fault (CPU/Software erroneous) </t>
  </si>
  <si>
    <t>Temperature Sensor is faulty</t>
  </si>
  <si>
    <t>Connection between AMS and temperature sensor is broken</t>
  </si>
  <si>
    <t>Voltage sense input is broken</t>
  </si>
  <si>
    <t>Voltage sense wire is broken</t>
  </si>
  <si>
    <t>Overcurrent in the voltage sense wire</t>
  </si>
  <si>
    <t>Signal Connection between AMS Master and Slave is broken</t>
  </si>
  <si>
    <t>Relay/transistor controlled by AMS is broken</t>
  </si>
  <si>
    <t>Connection between AMS and powerstage to open the shutdown circuit is broken</t>
  </si>
  <si>
    <t>AMS lost power supply</t>
  </si>
  <si>
    <t>Cell balancing powerstage has a short circuit</t>
  </si>
  <si>
    <t>Digital communication between AMS master and slave is corrupted (e.g. bits change due to EMI)</t>
  </si>
  <si>
    <t>AMS not installed</t>
  </si>
  <si>
    <t>Tractive System Active Light</t>
  </si>
  <si>
    <t>Displaying the status of the tractive system</t>
  </si>
  <si>
    <t>Light emitting device broken</t>
  </si>
  <si>
    <t>TSAL illuminates without high voltage present/active</t>
  </si>
  <si>
    <t>Voltage sense connection to HV+ or HV- broken</t>
  </si>
  <si>
    <t>Tractive system active light lost power supply</t>
  </si>
  <si>
    <t>Accumulator Indicator</t>
  </si>
  <si>
    <t>Shows, if more than 60VDC exist behind the AIRs</t>
  </si>
  <si>
    <t>Signal connection to HV+ or HV- lost</t>
  </si>
  <si>
    <t>Lost power supply</t>
  </si>
  <si>
    <t>Ready-To-Drive-Sound</t>
  </si>
  <si>
    <t>Indicating that the vehicle is ready-to-drive</t>
  </si>
  <si>
    <t>Ready to Drive signal is not audible when tractive system is engaged</t>
  </si>
  <si>
    <t>Brake System Plausibility Device</t>
  </si>
  <si>
    <t>Checking for implausibility between brake pedal sensor and power delivered to the motor(s)</t>
  </si>
  <si>
    <t>Brake Pedal Sensor broken</t>
  </si>
  <si>
    <t>Signal connection (analog or digital) to Brake Pedal Sensor broken</t>
  </si>
  <si>
    <t>Motor current sensor broken</t>
  </si>
  <si>
    <t>Signal connection (analog or digital) to motor current sensor broken</t>
  </si>
  <si>
    <t>Brake system plausibility device lost power supply</t>
  </si>
  <si>
    <t>Powerstage (relay/transistor) to open the shutdown circuit is broken</t>
  </si>
  <si>
    <t>Connection to powerstage to open the shutdown circuit is broken</t>
  </si>
  <si>
    <t>Brake system plausibility device not installed</t>
  </si>
  <si>
    <t>Brake-Over-Travel-Switch</t>
  </si>
  <si>
    <t>Detecting an over-travelling brake pedal</t>
  </si>
  <si>
    <t>Electrical Connection to shut-down circuit broken</t>
  </si>
  <si>
    <t>Switch broken / does not switch</t>
  </si>
  <si>
    <t>Shutdown Button</t>
  </si>
  <si>
    <t>Opening the shutdown circuit, when pushed</t>
  </si>
  <si>
    <t>Button broken / does not switch</t>
  </si>
  <si>
    <t>Cockpit-mounted Shutdown Button</t>
  </si>
  <si>
    <t>Tractive System Master Switch</t>
  </si>
  <si>
    <t>Switches off the tractive system</t>
  </si>
  <si>
    <t>Grounded Low-Voltage System Master Switch</t>
  </si>
  <si>
    <t>Switches off the GLVS</t>
  </si>
  <si>
    <t>Inertia switch</t>
  </si>
  <si>
    <t>Opens the shut down circuit in case of a crash</t>
  </si>
  <si>
    <t>Electrical Connection to shut-down circuit brokendisconnected</t>
  </si>
  <si>
    <t>Inertia Switch not installed</t>
  </si>
  <si>
    <t>Tractive System Measurement Points</t>
  </si>
  <si>
    <t>Carrying the current tractive system voltage for easy measurements</t>
  </si>
  <si>
    <t>Connection to HV+, HV-, or chassis ground is broken</t>
  </si>
  <si>
    <t>LV-DC/DC converter</t>
  </si>
  <si>
    <t>Converts TS voltage to GLVS voltage</t>
  </si>
  <si>
    <t>DC/DC draws to much current</t>
  </si>
  <si>
    <t>DC/DC drains the HV-battery</t>
  </si>
  <si>
    <t>DC/DC overheats</t>
  </si>
  <si>
    <t>GLVS short circuit</t>
  </si>
  <si>
    <t>GLV System Supply</t>
  </si>
  <si>
    <t>Supplies the GLV with energy</t>
  </si>
  <si>
    <t>GLV System voltage critically low</t>
  </si>
  <si>
    <t>vehicle dynamics control/ECU</t>
  </si>
  <si>
    <t>Add algorithmic intervention to torque requests</t>
  </si>
  <si>
    <t>vehicle dynamics control/ECUFault</t>
  </si>
  <si>
    <t>vehicle dynamics control</t>
  </si>
  <si>
    <t>Steering wheel sensor to thisECUThe connection is damaged</t>
  </si>
  <si>
    <t>Steering wheel sensor signal failure</t>
  </si>
  <si>
    <t>accelerator pedal sensor to thisECUThe connection is damaged</t>
  </si>
  <si>
    <t>Accelerator pedal sensor signal failure</t>
  </si>
  <si>
    <t>The wheel speed sensor reaches this ECU The connection is damaged</t>
  </si>
  <si>
    <t>Wheel speed sensor signal failure</t>
  </si>
  <si>
    <t>Energy recovery function/ECU</t>
  </si>
  <si>
    <t>Controls regenerative braking</t>
  </si>
  <si>
    <t>Energy recovery function/ECUFault</t>
  </si>
  <si>
    <t>Related sensor failure</t>
  </si>
  <si>
    <t>Relevant sensor signal transmission is impaired</t>
  </si>
  <si>
    <t>Rear wheel regenerative braking is activated at high-speed by mistake</t>
  </si>
  <si>
    <t>Charger</t>
  </si>
  <si>
    <t>Controls charging the accumulator</t>
  </si>
  <si>
    <t>Connector is live when not connected</t>
  </si>
  <si>
    <t>Accumulator fault which can be detected by the AMS</t>
  </si>
  <si>
    <t>Rev</t>
  </si>
  <si>
    <t>Date</t>
  </si>
  <si>
    <t>Name</t>
  </si>
  <si>
    <t>Changes</t>
  </si>
  <si>
    <t>Reason</t>
  </si>
  <si>
    <t>C.Powers</t>
  </si>
  <si>
    <t>FMEA rows 62/63/64. 40VDC changed to 60VDC.</t>
  </si>
  <si>
    <t>Rules definition of HV is now &gt;60V DC</t>
  </si>
  <si>
    <t>R.Berndt</t>
  </si>
  <si>
    <t>Removed redundant modes, clarified language</t>
  </si>
  <si>
    <t>Per discussions - reduce team confusion and errors with a goal of achieving high rate of first submission acceptance while still requiring teams to fully utilize the tool.</t>
  </si>
  <si>
    <t>Y.Zeng</t>
  </si>
  <si>
    <t>Translate into Chinese</t>
  </si>
  <si>
    <t>Modify template for FSEC</t>
  </si>
  <si>
    <r>
      <rPr>
        <sz val="8"/>
        <color rgb="FF000000"/>
        <rFont val="SimSun"/>
        <charset val="134"/>
      </rPr>
      <t>如果IMD工作，车辆驱动系统急停。这会导致驱动力丧失并且可能造成控制问题。IMD功能失效，在意外接触的情况下，车手，车队队员以及周围人员都有可能触电。车辆不能安全运行，甚至维护检修都不安全。</t>
    </r>
    <phoneticPr fontId="20" type="noConversion"/>
  </si>
  <si>
    <t>在线束制作过程中，可能由于疏忽，导致连接不可靠。而这种情况出现频率低，且容易在整车线束链接，和一些后期的检查中观察到。</t>
  </si>
  <si>
    <r>
      <rPr>
        <sz val="8"/>
        <color rgb="FF000000"/>
        <rFont val="SimSun"/>
        <charset val="134"/>
      </rPr>
      <t>IMD检测高压系统和控制系统之间的绝缘故障，是产品级的设备，经过测试可以适用赛车中的各种工况。IMD会按照说明书要求安装，且妥善防护震动和冲击。IMD产品已经被充分证明能够胜任大学生方程式级别的工况。为了保证IMD检测效果，确保其接地检测线和车架的低阻抗连接。</t>
    </r>
    <phoneticPr fontId="20" type="noConversion"/>
  </si>
  <si>
    <r>
      <rPr>
        <sz val="8"/>
        <color rgb="FF000000"/>
        <rFont val="SimSun"/>
        <charset val="134"/>
      </rPr>
      <t>IMD检测到故障的情况下,安全回路被切断，驱动系统去能，IMD指示器点亮以提示车手。</t>
    </r>
    <phoneticPr fontId="20" type="noConversion"/>
  </si>
  <si>
    <r>
      <rPr>
        <sz val="8"/>
        <color rgb="FF000000"/>
        <rFont val="SimSun"/>
        <charset val="134"/>
      </rPr>
      <t>由于IMD关闭了驱动系统，车辆失去动力但是车手仍然可以转向和制动，并且安全地停车。车辆会被推至维修区，推车人员需要穿戴所有防护器具（合规的高压手套，护目镜，摘除所有首饰）。维修区会被隔离，只有专业的队员在配套防护器具之后才能入内检修赛车。绝缘检测设备，例如带有此功能的万用表，将被用来诊断和定位此故障。修复故障之后，车辆必须进行绝缘电阻测试和绝缘检测装置测试来确保安全。除非绝缘故障已经被完全排除了，禁止闭合AIRs。</t>
    </r>
    <phoneticPr fontId="20" type="noConversion"/>
  </si>
  <si>
    <r>
      <rPr>
        <sz val="8"/>
        <color rgb="FF000000"/>
        <rFont val="SimSun"/>
        <charset val="134"/>
      </rPr>
      <t>通过车架/单体壳使人体和高压一极接触。可能导致在意外触碰另一极时造成触电。</t>
    </r>
    <phoneticPr fontId="20" type="noConversion"/>
  </si>
  <si>
    <r>
      <rPr>
        <sz val="8"/>
        <color rgb="FF000000"/>
        <rFont val="SimSun"/>
        <charset val="134"/>
      </rPr>
      <t>HVD/驱动系统接插件均为成熟的、产品级别的设备，一般具有良好的可靠性，能承受住比赛过程中的碰撞与震动。且其可靠性会在线束连接的每一步中得到检查</t>
    </r>
    <phoneticPr fontId="20" type="noConversion"/>
  </si>
  <si>
    <t>驱动系统的熔断可能会导致该车辆无法正常行驶，导致车辆瞬间失去动力。</t>
  </si>
  <si>
    <t>车辆驱动系统急停。短路电流可能会对电动汽车的驱动系统、控制系统等局部设备造成损坏。</t>
  </si>
  <si>
    <t>若系统中电流过大，可能会导致部分设备或线缆温度异常升高，进而导致车辆起火，造成不可控事故。</t>
  </si>
  <si>
    <t>在整车设计中，会选用合适的保险丝，一般不会出现保险丝选择不合适。然而若比赛中出现事故，导致其短路，然而事故模式很多样，难以考虑到所有情况。</t>
  </si>
  <si>
    <t>对保险丝结构进行观察</t>
  </si>
  <si>
    <t>如若保险丝熔断，可以从其外观上发现其熔断，在对安全回路进行检查时，及其容易发现其熔断</t>
  </si>
  <si>
    <t>在保险丝熔断的情况下，安全回路被切断，驱动系统和低压系统去使能，车辆整体断电</t>
  </si>
  <si>
    <t>由于保险丝熔断，导致安全回路切断，车辆失去动力但是车手仍然可以转向和制动，并且安全地停车。车辆会被推至维修区，推车人员需要穿戴所有防护器具（合规的高压手套，护目镜，摘除所有首饰）。维修区会被隔离，只有专业的队员在配套防护器具之后才能入内检修赛车。修复故障过程中，一定要检测其过流原因（设备短路，保险丝老化等），再明确其过流原因并排除相关故障后，才可更换保险丝解决故障。</t>
  </si>
  <si>
    <t>电芯正极或负极附近温度过高，可能导致附近绝缘材料失效、电解液膨胀等局部影响。当电池温度过低或过高，会导致电池性能降低。若温度检测系统失效，则会引发热失控，引起电池爆燃。</t>
  </si>
  <si>
    <t>放电过热导致电池性能降低时，赛车性能会发生一定程度的削弱。在电池箱热失控的情况下，车手，车队队员以及周围人员都有可能面临燃爆风险。</t>
  </si>
  <si>
    <t>如果放电时电芯温度过高，可能会导致电池使用寿命下降或者发热失控，若是这种情况长时间不加以控制则可能导致电池箱燃爆，威胁人员生命安全。</t>
  </si>
  <si>
    <t>整车设计中，会对电池箱温度进行严格的监测，且电池箱的散热设计良好，一般不会温度过高，但不排除散热系统失效或温控系统失效的可能，若是电芯温度高于所设阈值，则电池箱会主动进行断电。</t>
  </si>
  <si>
    <t>我们采用的电池箱的温度传感系统，是一款产品级设备，经过测试可以适用于赛车中的各种工况。且当其如果失效时，可以在温度数据采集过程中发现异常。</t>
  </si>
  <si>
    <t>温度传感器检测到电池箱温度高于阈值时AIRs抬起，电池箱断电，AMS指示灯亮起，驱动系统去使能</t>
  </si>
  <si>
    <t>由于AIRs抬起导致电池箱断电，驾驶员座舱中的AMS指示灯亮起告知车手，车辆失去动力但是车手仍然可以转向和制动，并且安全地停车。由穿戴所有防护器具（合规的高压手套，护目镜，摘除所有首饰）的安全员推至维修区，维修区会被隔离，只有专业的队员在配套防护器具之后才能入内检修赛车。修复故障过程中，一定要检测其电池箱冷却系统是否存在故障，明确电池箱过热原因并排除相关故障。</t>
  </si>
  <si>
    <t>充电过热导致电池性能降低时，赛车性能会发生一定程度的削弱。充电时产生热失控也会引发电池燃爆，危害充电如人愿、周围人员的安全。</t>
  </si>
  <si>
    <t>整车设计中，AMS会对电池箱温度进行严格的监测，且电池箱的散热设计良好，一般不会温度过高，但不排除散热系统失效或温控系统失效的可能，若是电芯温度高于所设阈值，则电池箱会主动进行断电。</t>
  </si>
  <si>
    <t>无</t>
  </si>
  <si>
    <t>由穿戴所有防护器具（合规的高压手套，护目镜，摘除所有首饰）的安全员立即断开充电电源，疏散周围人员，将电池箱所在区域隔离，静置电池箱放电一段时间后，只有专业的队员在配套防护器具之后才能入内检修电池。修复故障过程中，一定要检测其电池箱冷却系统是否存在故障，明确电池箱过热原因并排除相关故障。</t>
  </si>
  <si>
    <t>电池电芯电压过高的影响包括缩短电池寿命、内部损坏、电解液泄漏和安全风险。过高的电压会加速电池老化、损坏内部结构，可能导致电解液泄漏并增加火灾或爆炸的风险。</t>
  </si>
  <si>
    <t>过高的电压会加速电池老化、损坏内部结构，可能导致电解液泄漏并增加火灾或爆炸的风险。危害车手，车队队员以及周围人员的生命安全。</t>
  </si>
  <si>
    <t>过高的电压导致电池老化、内部结构损坏，可能导致电解液泄漏并增加火灾或爆炸的风险。危害车手，车队队员以及周围人员的生命安全。</t>
  </si>
  <si>
    <t>整车设计中，AMS会对电池电芯电压进行严格的监测，一般不会电压过高，但不排除散热系统失效或温控系统失效的可能，若是电芯电压高于所设阈值，则电池箱会主动进行断电。</t>
  </si>
  <si>
    <t>我们采用的电池箱管理系统中的电压检测装置，是一款产品级设备，经过测试可以适用于赛车中的各种工况。且当其如果失效时，可以在电压数据采集过程中发现异常。</t>
  </si>
  <si>
    <t>电池管理系统中的电压检测装置检测到电压过高时，电池箱断电，AMS指示灯亮起，驱动系统去使能。</t>
  </si>
  <si>
    <t>当电池管理系统中的电压检测装置检测到电池箱电压过高时，控制AIRs抬起使电池箱断电，驾驶员座舱中的AMS指示灯亮起告知车手，车辆失去动力但是车手仍然可以转向和制动，并且安全地停车。由穿戴所有防护器具（合规的高压手套，护目镜，摘除所有首饰）的安全员推至维修区，维修区会被隔离，只有专业的队员在配套防护器具之后才能入内检修赛车。修复故障过程中，一定要检测其电池压控制系统是否存在故障，明确电池电芯电压过高的原因并排除相关故障。</t>
  </si>
  <si>
    <t>电池电芯电压过低的影响包括缩短电池使用寿命，导致电路上的功率损耗增大，降低了线路输送的极限，可能导致因电压过低引起的电路崩溃，电机发热量升高，甚至导致电机烧毁。</t>
  </si>
  <si>
    <t>过低的电池电压会加速电池老化，损坏电池内部结构，可能导致电路的负荷超出低电压状态下电池的极限，从而引发电路崩溃甚至电机烧毁，进而引发火灾或爆炸。危害车手，车队队员以及周围人员的生命安全。</t>
  </si>
  <si>
    <t>过低的电池电压会加速电池老化，可能导致电路的负荷超出低电压状态下电池的极限，从而引发电路崩溃甚至电机烧毁，进而引发火灾或爆炸。危害车手，车队队员以及周围人员的生命安全</t>
  </si>
  <si>
    <t>整车设计中，AMS会对电池电芯电压进行严格的监测，一般不会电压过低，但不排除散热系统失效或温控系统失效的可能，若是电芯电压低于所设阈值，则电池箱会主动进行电。</t>
  </si>
  <si>
    <t>电池管理系统中的电压检测装置检测到电压过低时，电池箱断电，AMS指示灯亮起，驱动系统去使能。</t>
  </si>
  <si>
    <t>当电池管理系统中的电压检测装置检测到电池箱电压过低时，控制AIRs抬起使电池箱断电，驾驶员座舱中的AMS指示灯亮起告知车手，车辆失去动力但是车手仍然可以转向和制动，并且安全地停车。由穿戴所有防护器具（合规的高压手套，护目镜，摘除所有首饰）的安全员推至维修区，维修区会被隔离，只有专业的队员在配套防护器具之后才能入内检修赛车。修复故障过程中，一定要检测其电池压控制系统是否存在故障，明确电池电芯电压过高的原因并排除相关故障。</t>
  </si>
  <si>
    <t>过大电流会导致电池箱内部元件的损坏；电池内部化学反应的异常，导致电池寿命缩短、容量下降；导致电源过热，引发安全风险</t>
  </si>
  <si>
    <t>放电电流电流过大导致电池性能降低会影响车辆性能；如果造成内部元件损坏，有可能引发燃爆，产生安全风险，危及车手、车队人员及周边人员的安全。</t>
  </si>
  <si>
    <t>放电电流电流过大导致内部元件损坏，有可能引发燃爆，产生安全风险，危及车手、车队人员及周边人员的安全。</t>
  </si>
  <si>
    <t>整车设计中，AMS会对放电电流进行严格的监测，且电池箱的散热设计良好，一般不会温度过高，但不排除散热系统失效或温控系统失效的可能，若是放电电流高于所设阈值，则电池箱会主动进行断电。</t>
  </si>
  <si>
    <t>我们采用的电池箱管理系统中的电流检测装置，是一款产品级设备，经过测试可以适用于赛车中的各种工况。且当其如果失效时，可以在电流数据采集过程中发现异常。</t>
  </si>
  <si>
    <t>电池管理系统中的电流检测装置检测到电流过高时，电池箱断电，AMS指示灯亮起，驱动系统去使能。</t>
  </si>
  <si>
    <t>当电池管理系统中的电流检测装置检测到电池箱电流过高时，控制AIRs抬起使电池箱断电，驾驶员座舱中的AMS指示灯亮起告知车手，车辆失去动力但是车手仍然可以转向和制动，并且安全地停车。由穿戴所有防护器具（合规的高压手套，护目镜，摘除所有首饰）的安全员推至维修区，维修区会被隔离，只有专业的队员在配套防护器具之后才能入内检修赛车。修复故障过程中，一定要检测其电池压控制系统是否存在故障，明确电池电芯电压过高的原因并排除相关故障。</t>
  </si>
  <si>
    <t>充电电流过大导致电池性能降低会影响车辆性能；如果造成内部元件损坏将会产生安全风险，危及周边人员的安全。</t>
  </si>
  <si>
    <t>过低的电流会导致电池老化、内部结构损坏，甚至产生安全风险。危害充电人员及周围人员的生命安全。</t>
  </si>
  <si>
    <t>整车设计中，AMS会对充电电流进行严格的监测，且电池箱的散热设计良好，一般不会温度过高，但不排除散热系统失效或温控系统失效的可能，若是充电电流高于所设阈值，则电池箱会主动进行断电。</t>
  </si>
  <si>
    <t>我们采用的电池箱管理系统中的电流检测装置，是一款产品级设备，经过测试可以适用于赛车中的各种工况。且当其如果失效时，可以在电压数据采集过程中发现异常。</t>
  </si>
  <si>
    <t>冷却系统失效会导致电池箱温度过高，引发安全风险，并且破坏电池箱内部的化学平衡，降低电池性能，缩短电池使用寿命，</t>
  </si>
  <si>
    <t>电池箱冷却系统失效会导致电池箱温度过高，电池寿命缩短，行驶里程减少，车辆性能下降，安全隐患增加，严重时会损害内部元件，导致火灾或爆炸等风险</t>
  </si>
  <si>
    <t>冷却系统失效会导致电池箱温度升高，过高的温度会影响电池箱及周围的元器件，进而引发火灾或爆炸。危害车手，车队队员以及周围人员的生命安全</t>
  </si>
  <si>
    <t>整车设计中，AMS会对冷却系统以及电池箱温度进行严格的监测，一般不会温度过高，发现冷却系统失效或者电池温度异常偏高，则电池箱会主动进行断电。</t>
  </si>
  <si>
    <t>电池管理系统中的冷却系统检测装置检测到冷却系统失效时，电池箱断电，AMS指示灯亮起，驱动系统去使能。</t>
  </si>
  <si>
    <t>当电池管理系统检测到冷却系统失效时，控制AIRs抬起使电池箱断电，驾驶员座舱中的AMS指示灯亮起告知车手，车辆失去动力但是车手仍然可以转向和制动，并且安全地停车。由穿戴所有防护器具（合规的高压手套，护目镜，摘除所有首饰）的安全员推至维修区，维修区会被隔离，只有专业的队员在配套防护器具之后才能入内检修赛车。修复故障过程中，一定要检测其冷却系统控制系统是否存在故障，明确电池冷却系统失效的原因并排除相关故障。</t>
  </si>
  <si>
    <t>电池箱受到碰撞冲击后容易导致电池箱外壳凹陷，使得电池短路，电芯受损则可能导致原先的电芯短路，二者均会产生高温导致电解液汽化或燃烧进而引发爆炸。</t>
  </si>
  <si>
    <t>电池箱受到碰撞冲击或者电芯结构受损，容易导致电池或者电芯短路，严重影响电池的使用寿命，甚至由产生火灾或爆炸的风险，危及周边人员安全。</t>
  </si>
  <si>
    <t>电池箱受到碰撞冲击或者电芯结构受损，容易导致电池或者电芯短路，导致电池产生高温，进而引发火灾或者爆炸。危害车手、车队队员以及周边人员的生命安全。</t>
  </si>
  <si>
    <t>整车设计中，AMS会对电池箱温度进行严格的监测，若是出现温度过高的情况，则电池箱会主动进行断电。</t>
  </si>
  <si>
    <t>电池管理系统中的温度传感器检测到电池箱温度过高时，AIRs抬起，电池箱断电，AMS指示灯亮起，驱动系统去使能。</t>
  </si>
  <si>
    <t>当电池管理系统检测到电池箱温度过高时，控制AIRs抬起使电池箱断电，驾驶员座舱中的AMS指示灯亮起告知车手，车辆失去动力但是车手仍然可以转向和制动，并且安全地停车。由穿戴所有防护器具（合规的高压手套，护目镜，摘除所有首饰）的安全员推至维修区，维修区会被隔离，只有专业的队员在配套防护器具之后才能入内检修赛车。修复故障过程中，一定要检测其冷却系统控制系统是否存在故障，明确电池冷却系统失效的原因并排除相关故障。</t>
  </si>
  <si>
    <t>ECU会检测到两者信号不匹配，ECU会使驱动器去使能，进而电机停转。</t>
  </si>
  <si>
    <t>造成车辆失去动力，进而产生控制问题。需要重新使能驱动器</t>
  </si>
  <si>
    <t>传感器1和传感器2指示不同踏板位置，只会使车辆失去动力，而车手依然对车辆可以进行操控，可以进行安全停车，不会造成人员伤亡</t>
  </si>
  <si>
    <t>我们选用的加速踏板传感器，是一款成熟的产品，其出现问题而失效可能性较低。在踏板设计的过程中，会多次检测其设计合理性，一般不会出现结构不合理，</t>
  </si>
  <si>
    <t>ECU</t>
  </si>
  <si>
    <t>当传感器1和传感器2指示不同踏板位置时，其模拟量输出必然不同，必然会被ECU检测到其不一致，并反馈其不一致信息，该信息可以被上位机检测得到。</t>
  </si>
  <si>
    <t>当ECU检测到不一致时，驱动器去使能，车辆失去动力。</t>
  </si>
  <si>
    <t>由于ECU将驱动器去使能，但车辆仍然可以进行控制，其ECU会继续检测，若在500ms内其位置进行重新检测，若其信号可靠，对驱动器重新进行使能，若仍然不可靠，车辆会被推入检修区，相关维修人员会从上位机中读出其信号不可靠，并对问题进行排查，如踏板结构变形，或其失效，并将其维修至其信号可靠。</t>
  </si>
  <si>
    <t>ECU会检测到两者信号出现问题，ECU会使驱动器去使能，进而电机停转。</t>
  </si>
  <si>
    <t>造成车辆失去动力，进而产生控制问题。需要重新使能驱动器，车辆运行不安全。</t>
  </si>
  <si>
    <t>传感器1或传感器2（数字或模拟）信号不可靠，只会使车辆失去动力，而车手依然对车辆可以进行操控，可以进行安全停车，不会造成人员伤亡</t>
  </si>
  <si>
    <t>我们选用的加速踏板传感器，是一款成熟的产品，其出现问题而失效可能性较低。在踏板设计的过程中，会多次检测其设计合理性，一般不会出现结构不合理，但若出现外力作用使其变形，从而出现信号不可靠。</t>
  </si>
  <si>
    <t>传感器1或传感器2（数字或模拟）信号不可靠，其模拟量输出会超出量程，必然会被ECU检测到，并反馈信号失效信息，该信息可以被上位机检测得到。</t>
  </si>
  <si>
    <t>当ECU检测到信号失效时，驱动器去使能，车辆失去动力。</t>
  </si>
  <si>
    <t>由于ECU将驱动器去使能，但车辆仍然可以进行控制，车辆会被推入检修区，相关维修人员会从上位机中读出其信号不可靠，并对问题进行排查，如踏板结构变形，或其失效，并将其维修至其信号可靠。</t>
  </si>
  <si>
    <t>在踏板设计的过程中，会多次检测其设计合理性，一般不会出现结构不合理，但若出现外力作用使其变形，从而出现信号不可靠。在整个踏板设计过程中，会多次检测其连接是否可靠</t>
  </si>
  <si>
    <t>传感器1或传感器2其连接断开，必会使信号不可靠，必然会被ECU检测到，并反馈信号失效信息，该信息可以被上位机检测得到。</t>
  </si>
  <si>
    <t>连接破坏，其输出必为0，ECU检测到不一致时，驱动器去使能，车辆失去动力。</t>
  </si>
  <si>
    <t>由于ECU将驱动器去使能，但车辆仍然可以进行控制，其ECU会继续检测，但会在500ms内其位置进行重新检测，而其信号必不可靠信号可靠，不会对驱动器重新进行使能，车辆会被推入检修区，相关维修人员会从上位机中读出其信号不可靠，并对问题进行排查，如踏板结构变形，或其失效，并将其维修至排除相关故障。</t>
  </si>
  <si>
    <t>通过车架或者单体壳接地，会导致其输出信号不可靠，ECU会检测到两者信号出现问题，ECU会使驱动器去使能，进而电机停转。</t>
  </si>
  <si>
    <t>传感器输出的信号连接（模拟或数字）受损，可能导致传感器1或传感器2（数字或模拟）信号不可靠，只会使车辆失去动力，而车手依然对车辆可以进行操控，可以进行安全停车，不会造成人员伤亡。</t>
  </si>
  <si>
    <t>在线束布局设计时，一般会考虑其线束布置的合理性，不会使线束出现机械损伤。必要的地方均有热或者机械方面的保护。所有的线束都妥善固定且妥善保护避免受到磨损或者挤压。</t>
  </si>
  <si>
    <t>只有当其连接受损且其与其他非绝缘结构触碰时，会使其信号失真，会使ECU检测到。</t>
  </si>
  <si>
    <t>由于ECU将驱动器去使能，但车辆仍然可以进行控制，其ECU会继续检测，但会在500ms内其位置进行重新检测，而其信号必不可靠信号可靠，不会对驱动器重新进行使能，车辆会被推入检修区，相关维修人员会从上位机中读出其信号不可靠，并对问题进行排查，并将其维修至排除相关故障。</t>
  </si>
  <si>
    <t>使其加速信号一直输出满功率，造成车辆一直满速运行</t>
  </si>
  <si>
    <t>使车手失去对速度的控制，造成无法对车辆进行稳定操控，从而使车辆冲出脱离赛道。</t>
  </si>
  <si>
    <t>当车手失去对车辆的控制时，车辆会不受控制，进而使车辆遭受撞击，使车手遭到机械损伤。</t>
  </si>
  <si>
    <t>在加速踏板设计过程中，以及安装过程中，会多次考量其位置与结构合理性。但有可能异物入侵导致其卡死。</t>
  </si>
  <si>
    <t>车手</t>
  </si>
  <si>
    <t>车手很容易发现踏板卡死。</t>
  </si>
  <si>
    <t>车手会发现自己失去对踏板的控制，踩下刹车并按下急停开关，bspd起作用，断开安全回路，车辆失去动力但是车手仍可以转向制动，并安全的停车，将车辆推至维修区，并排出踏板卡死这一故障。</t>
  </si>
  <si>
    <t>ECU会检测到两者信号不一致，ECU会使驱动器去使能，进而电机停转。</t>
  </si>
  <si>
    <t>一般情况下，强干扰源与信号线均会采用可靠的屏蔽接法，保证其屏蔽可靠，但不排除异物入侵导致的屏蔽层破损。</t>
  </si>
  <si>
    <t>ECU会检测到输出电压为0，检测不到电压偏执，ECU会使驱动器去使能，进而电机停转。</t>
  </si>
  <si>
    <t>一般情况下，会在线束设计连接过程中多次检测其可靠性，保证其连接可靠</t>
  </si>
  <si>
    <t>传感器1或传感器2（数字或模拟）信号不可靠，其输出量为0，无偏置，必然会被ECU检测到，并反馈信号失效信息，该信息可以被上位机检测得到。</t>
  </si>
  <si>
    <t>当ECU检测到输出为0时，驱动器去使能，车辆失去动力。</t>
  </si>
  <si>
    <t>电池箱无法正确的在驱动系统回路中被断开，导致其一直与驱动系统有电气连接。</t>
  </si>
  <si>
    <t>导致其回路无法正确的被切断。电池箱内电池单体可能会因为继电器卡住无法断开而出现过度放电或充电，从而影响电池寿命和性能，甚至引起电池热失控、着火等安全问题。卡住的继电器可能导致电池箱内部电路短路，从而引起车辆损坏、火灾等严重后果。</t>
  </si>
  <si>
    <t>由于继电器卡住可能会导致，甚至引起电池热失控、线路着火等安全问题，对相关人员造成烧伤等损伤</t>
  </si>
  <si>
    <t>电池箱绝缘继电器为成熟的商业产品，以证明其在工业设计上符合车辆设计的相关要求。若由于异物入侵导致其失效等意外事故，这种事故模式多种多样无法完全预测。</t>
  </si>
  <si>
    <t>继电器辅助触点</t>
  </si>
  <si>
    <t>当继电器异常工作时，其上电流电压与通电状态会产生异常，可以在日常检修中检查出来。</t>
  </si>
  <si>
    <t>ECU会读取异常继电器数据，对驱动系统去使能，并使车辆失去动力。</t>
  </si>
  <si>
    <t>车辆无法正确启动，有穿戴正确装备的技术人员从上位机进行检查，发现ECU报错，并穿戴齐全护具，并对继电器进行更换。</t>
  </si>
  <si>
    <t>驱动系统一直处于断开状态，无法正确上电。</t>
  </si>
  <si>
    <t>车辆无法启动，无法对驱动系统使能</t>
  </si>
  <si>
    <t>继电器为常开继电器，不会产生对人员危险</t>
  </si>
  <si>
    <t>当继电器异常工作时，驱动系统无法使能，在检查中很容易发现</t>
  </si>
  <si>
    <t>车辆无法正确启动，有穿戴正确装备的技术人员对高压系统进行检查，并发现问题，并对相关线束进行可靠的连接</t>
  </si>
  <si>
    <t>预充回路无法正常断开，可能使预充电电容一极长期暴露在高电压环境，导致其电容不在正常工作状态导致其损害。</t>
  </si>
  <si>
    <t>若预充电容损坏，导致其高压系统无法预充，驱动系统无法使能，车辆无法启动</t>
  </si>
  <si>
    <t>预充回路失效一般不会产生危险，不过有可能局部发热导致绝缘破损。</t>
  </si>
  <si>
    <t>继电器为成熟的商业产品，以证明其在工业设计上符合车辆设计的相关要求。若由于异物入侵导致其失效等意外事故，这种事故模式多种多样无法完全预测。</t>
  </si>
  <si>
    <t>当继电器异常工作时，其辅助触点一直闭合，可以检测到其工作异常。</t>
  </si>
  <si>
    <t>ECU会读取异常继电器数据，对上位机返回相关错误信息</t>
  </si>
  <si>
    <t>预充电继电器无法闭合，预充回路无法形成通路，无法对驱动系统进行预充。</t>
  </si>
  <si>
    <t>驱动系统无法使能，车辆无法驱动，车辆无法启动</t>
  </si>
  <si>
    <t>预充回路失效一般不会产生危险，车辆无法使能，但是会有安全隐患。</t>
  </si>
  <si>
    <t>一般情况下，会在线束设计连接过程中多次检测其可靠性，保证其连接可靠。但不排除事故造成的断开。</t>
  </si>
  <si>
    <t>驱动器控制线断开，无法闭合，其辅助触点无电压，ECU会检测到异常</t>
  </si>
  <si>
    <t>车辆无法正确启动，有穿戴正确装备的技术人员从上位机进行检查，发现ECU报错，并穿戴齐全护具，并对继电器进行更换，或对控制线进行重新连接。</t>
  </si>
  <si>
    <t>预充回路无法形成通路，无法对驱动系统进行预充。若连接不可靠，可能会暴露高压。</t>
  </si>
  <si>
    <t>预充电阻为成熟的商业产品，并在选型时会仔细考虑其合理性，以证明其在工业设计上符合车辆设计的相关要求。若由于异物入侵导致其失效等意外事故，这种事故模式多种多样无法完全预测。</t>
  </si>
  <si>
    <t>预充回路无法使用，驱动系统无法使能，ECU返回无法使能信息。</t>
  </si>
  <si>
    <t>ECU会返回驱动系统无法使能，对驱动系统去使能，并使车辆失去动力。</t>
  </si>
  <si>
    <t>车辆无法正确启动，有穿戴正确装备的技术人员从上位机进行检查，发现ECU报错，并穿戴齐全护具，并对预充电阻进行更换，或对其进行重新连接。</t>
  </si>
  <si>
    <t>放电回路无法断开，导致其驱动系统工作时，放电回路一直处于工作状态，引起放电电阻不正常发热。</t>
  </si>
  <si>
    <t>放电回路无法断开，导致其驱动系统工作一直处于不正常状态，可能使其驱动系统要求功率无法达到要求，也会导致发电回路损坏</t>
  </si>
  <si>
    <t>放电回路无法断开，会导致其电池箱异常放电，功率过高，电池箱断开输出，但放电回路会异常发热，可能导致危险</t>
  </si>
  <si>
    <t>放电回路未正常断开，AMS会检测到异常放电，并及时断开AIRs</t>
  </si>
  <si>
    <t>放电回路未正常断开，AMS会检测到异常放电，并及时断开AIRs，AIR指示灯亮起，驱动系统无法使能</t>
  </si>
  <si>
    <t>车辆驱动系统使能时，无法正常使能，AMS指示灯亮起，并报出相关错误码。由穿戴所有防护器具（合规的高压手套，护目镜，摘除所有首饰）的安全员推至维修区，维修区会被隔离，只有专业的队员在配套防护器具之后才能入内检修赛车。修复故障过程中，检查原放电继电器并排除相关故障。</t>
  </si>
  <si>
    <t>放电回路无法工作，导致驱动去使能后在很长一段时间内仍然会有高电压</t>
  </si>
  <si>
    <t>放电速度无法达到规则，驱动系统长时间处于高压状态，无法正常去使能</t>
  </si>
  <si>
    <t>放电回路无法工作，驱动系统一直处于高压，放电较慢，但高电压一般不会暴露，不会造成受伤，但有安全隐患</t>
  </si>
  <si>
    <t>放电电阻选择经过仔细考虑与验证，且其为成熟产品，以证明其在工业设计上符合车辆设计的相关要求。若由于异物入侵导致其失效等意外事故，这种事故模式多种多样无法完全预测。</t>
  </si>
  <si>
    <t>电池箱电压指示灯</t>
  </si>
  <si>
    <t>放电回路不工作，电压指示灯长时间亮起。</t>
  </si>
  <si>
    <t>放电回路不工作，电压指示灯长时间亮起。且驱动系统电压一直处于高电压，GLVS模块会检测其电压异常</t>
  </si>
  <si>
    <t>在驱动系统去使能时，观察到电池箱电压指示灯一直亮起，并GLVS一直返回高电压，由穿戴所有防护器具（合规的高压手套，护目镜，摘除所有首饰）的安全员推至维修区，维修区会被隔离，只有专业的队员在配套防护器具之后才能入内检修赛车。修复故障过程中，检查放电回路电阻并排除相关故障。</t>
  </si>
  <si>
    <t>造成高压暴露，可能在触碰另一极时产生触电</t>
  </si>
  <si>
    <t xml:space="preserve">绝缘材料的选择是基于环境和电压等级的。必要的地方均有热或者机械方面的保护。所有的线束都妥善固定且妥善保护避免受到磨损或者挤压。线束在制作过程的每一步都被检查。然而，直到整车测试，这些设计因素可能都没有被检查，所以一些疏忽在首次测试的时候可能被忽略了。车辆设计考虑了处理事故撞击，然而事故模式很多样，难以考虑到所有情况。 </t>
  </si>
  <si>
    <t>电机控制器在50ms内未收到控制信号时，自动进入告警模式，并断开电机使能。</t>
  </si>
  <si>
    <t>当无法接受到信号时，驱动系统被电机控制器去使能，但车手仍能安全停车，不会产生伤害</t>
  </si>
  <si>
    <t>电机控制器</t>
  </si>
  <si>
    <t>电机控制器在50ms内未收到控制信号时，自动进入告警模式，ECU收到错误指令。</t>
  </si>
  <si>
    <t>电机驱动器会使电机去使能，车辆失去动力</t>
  </si>
  <si>
    <t>车辆失去动力但是车手仍然可以转向和制动，并且安全地停车。车辆会被推至维修区，推车人员需要穿戴所有防护器具（合规的高压手套，护目镜，摘除所有首饰）。维修区会被隔离，只有专业的队员在配套防护器具之后才能入内检修赛车。并更换相关控制线或重新连接。</t>
  </si>
  <si>
    <t>电机控制器输出不可靠可能导致电机的运行不稳定或不准确，无法按照预期的输入控制信号进行输出控制。</t>
  </si>
  <si>
    <t>如果多个电机受到同一控制器的控制，输出不可靠的控制信号可能导致整个系统的运行不稳定或无法协调，影响车辆的性能和操控能力。</t>
  </si>
  <si>
    <t>因为电机控制器是驱动车辆运动的关键组件之一，若无法正确对应输入的控制信号，会导致驾驶员失去对车辆的有效控制，可能导致事故或损害车辆和人员的安全。</t>
  </si>
  <si>
    <t>因为电机控制器通常经过严格测试和质量控制，但仍可能受到环境、使用条件或制造质量等因素的影响而出现故障。</t>
  </si>
  <si>
    <t>ECU会对比输入电机控制器的值和其返回值做对比，出现很大偏差时会主动去使能，但信号差别不大时可能会无法检测出来</t>
  </si>
  <si>
    <t>ECU去使能电机驱动器，使车辆失去动力。</t>
  </si>
  <si>
    <t>车辆失去动力但是车手仍然可以转向和制动，并且安全地停车。车辆会被推至维修区，推车人员需要穿戴所有防护器具（合规的高压手套，护目镜，摘除所有首饰）。维修区会被隔离，只有专业的队员在配套防护器具之后才能入内检修赛车。并对控制器进行检修，控制器输出信号不正确的失效原因较多，请务必仔细检查其原因，并排除故障。</t>
  </si>
  <si>
    <t>冷却系统失效可能导致电机温度升高，超过设计范围，可能引起电机损坏或故障。超过设定值，驱动系统会强制去使能。</t>
  </si>
  <si>
    <t>车辆失去动力，车手失去控制。可能导致车辆失控或发生火灾，给车手带来安全风险。</t>
  </si>
  <si>
    <t>电机或控制器温度过高，会使驱动器去使能。严重情况下，可能导致车辆失控或发生火灾。</t>
  </si>
  <si>
    <t>液冷系统在设计时会多次考虑其合理性，但由于其设计并未经过耐久测试，并不能知道其是否在极限工况下是否有效，又出现失效的风险。</t>
  </si>
  <si>
    <t>电机控制器会收到其异常温度值，并作出反应</t>
  </si>
  <si>
    <t>车辆驱动系统去使能，车辆失去动力，控制器向ECU告警。</t>
  </si>
  <si>
    <t>车辆失去动力但是车手仍然可以转向和制动，并且安全地停车。车辆会被推至维修区，并仔细检查其失效原因，并进行维修</t>
  </si>
  <si>
    <t>电机旋变失效，电机控制器无法读取旋变数据，电机控制器去使能，电机去使能。</t>
  </si>
  <si>
    <t>车辆失去动力，车手失去对车辆动力的控制</t>
  </si>
  <si>
    <t>电机旋变失效，驱动器会及时的对电机进行去使能，是车辆失去动力，一般不会产生人员伤亡。</t>
  </si>
  <si>
    <t>旋变连接线与其屏蔽线接法，均为电机厂家推荐并在指导下进行连接，其可靠性经过了市场级的验证，一般不会出现失效情况。</t>
  </si>
  <si>
    <t>电机控制器会收不到其旋变返回数据，并做出反应。</t>
  </si>
  <si>
    <t>电机控制器会收不到其旋变返回数据，控制器会使电机去使能，并在can信号上故障位置一，返回ECU。</t>
  </si>
  <si>
    <t>车辆失去动力但是车手仍然可以转向和制动，并且安全地停车。车辆会被推至维修区，但旋变失效的可能情况很多（屏蔽失效，连接失效），仔细检查其失效原因，并进行维修。</t>
  </si>
  <si>
    <t>IMD检测不可靠，如果收到撞击、震动造成的高压暴露无法正确检测。</t>
  </si>
  <si>
    <t>IMD功能失效，在发生事故的情况下，可能造成高压系统暴露，车手，车队队员以及周围人员都有可能触电。车辆不能安全运行，甚至维护检修都不安全。</t>
  </si>
  <si>
    <t>IMD到HV+，HV-或者是低压地的连接断开，IMD告警，断开安全回路，一般不会出现伤害</t>
  </si>
  <si>
    <t>IMD会进行连接的自检，若有连接问题，IMD会报错</t>
  </si>
  <si>
    <t>由于IMD无法使能，驱动系统断开，车辆失去动力但是车手仍然可以转向和制动，并且安全地停车。车辆会被推至维修区，推车人员需要穿戴所有防护器具（合规的高压手套，护目镜，摘除所有首饰）。维修区会被隔离，只有专业的队员在配套防护器具之后才能入内检修赛车。检查其线束连接，并对连接失效的地方进行维修。</t>
  </si>
  <si>
    <t>IMD无法工作，安全回路无法正确闭合。</t>
  </si>
  <si>
    <t>高压系统无法正确使能，车辆失去动力，车手失去对车辆动力的控制。</t>
  </si>
  <si>
    <t>IMD处于未使能状态，安全回路断开，驱动系统无法使能，一般不会造成高压暴露不会产生伤害。</t>
  </si>
  <si>
    <t>IMD无法使能，其安全回路必然断开，且IMD指示灯常亮，必能发现其错误</t>
  </si>
  <si>
    <t>IMD未使能,安全回路被切断，驱动系统去能，IMD指示器点亮以提示车手。</t>
  </si>
  <si>
    <t>由于IMD关闭了驱动系统，车辆失去动力但是车手仍然可以转向和制动，并且安全地停车。车辆会被推至维修区，推车人员需要穿戴所有防护器具（合规的高压手套，护目镜，摘除所有首饰）。维修区会被隔离，只有专业的队员在配套防护器具之后才能入内检修赛车。检查其线束连接，并对连接失效的地方进行维修。</t>
  </si>
  <si>
    <t>IMD检测可能失效，若IMD控制继电器一直闭合，可能导致安全回路并不能正确对绝缘正确检测。</t>
  </si>
  <si>
    <t>IMD故障，车辆可能会在处于高压暴露下而不知，车手，车队队员以及周围人员都有可能触电。车辆不能安全运行，甚至维护检修都不安全。</t>
  </si>
  <si>
    <t>IMD故障，车辆可能会在处于高压暴露下而不知，车手，车队队员以及周围人员都有可能触电，造成休克或心脏停跳。</t>
  </si>
  <si>
    <t>IMD检测高压系统和控制系统之间的绝缘故障，是产品级的设备，经过测试可以适用赛车中的各种工况。IMD会按照说明书要求安装，且妥善防护震动和冲击。IMD产品已经被充分证明能够胜任大学生方程式级别的工况。</t>
  </si>
  <si>
    <t>若IMD自检可以正常工作，IMD指示灯亮起，告知车手。若IMD自检不正常，则有可能检测不到该问题。</t>
  </si>
  <si>
    <t>由于IMD关闭了驱动系统，车辆失去动力但是车手仍然可以转向和制动，并且安全地停车。车辆会被推至维修区，推车人员需要穿戴所有防护器具（合规的高压手套，护目镜，摘除所有首饰）。维修区会被隔离，只有专业的队员在配套防护器具之后才能入内检修赛车并对绝缘检测系统进行维修。修复故障之后，车辆必须进行绝缘电阻测试和绝缘检测装置测试来确保安全。除非绝缘故障已经被完全排除了，禁止闭合AIRs。</t>
  </si>
  <si>
    <t>IMD无法正确的闭合安全回路，导致驱动系统无法使能。</t>
  </si>
  <si>
    <t>安全回路继电器为常开继电器，未连接一直使安全回路处于断开状态，一般不会出现危险。</t>
  </si>
  <si>
    <t>安全回路</t>
  </si>
  <si>
    <t>安全回路无法闭合，驱动系统无法使能，现象明显，如不排查则一直无法使能</t>
  </si>
  <si>
    <t>安全回路被切断，驱动系统去能。</t>
  </si>
  <si>
    <t>安全回路切断，驱动系统断开，车辆失去动力但是车手仍然可以转向和制动，并且安全地停车。车辆会被推至维修区，推车人员需要穿戴所有防护器具（合规的高压手套，护目镜，摘除所有首饰）。维修区会被隔离，只有专业的队员在配套防护器具之后才能入内检修赛车并对绝缘检测系统进行维修。检查问题并重新连接信号线</t>
  </si>
  <si>
    <t>继电器可能会被错误的闭合，导致安全回路保持闭合，无法正确的断开安全回路</t>
  </si>
  <si>
    <t>当出现绝缘失效时，可能安全回路无法断开,车辆可能会在处于高压暴露下而不知，车手，车队队员以及周围人员都有可能触电，造成休克或心脏停跳。</t>
  </si>
  <si>
    <t>继电器异常工作，其返回值与工作状态不负，ECU会读取其错误。</t>
  </si>
  <si>
    <t>ECU会读取异常继电器数据，对上位机返回相关错误信息。</t>
  </si>
  <si>
    <t>车辆无法正确启动，有穿戴正确装备的技术人员从上位机进行检查，发现ECU报错，并穿戴齐全护具，并对IMD进行安装。</t>
  </si>
  <si>
    <t>按却贿赂无法闭合，驱动系统无法使能</t>
  </si>
  <si>
    <t>车辆没有动力，无法启动。车辆可能处于非绝缘状态</t>
  </si>
  <si>
    <t>车辆无法启动，安全回路无法闭合，一般不会产生伤害。</t>
  </si>
  <si>
    <t>在安全回路的安装过程中的各个部分都会检查其是否安装，不安装概率极小</t>
  </si>
  <si>
    <t>安全回路无法闭合，驱动系统无法使能</t>
  </si>
  <si>
    <t>车辆无法正确启动，将车辆推至维修区，进行安装</t>
  </si>
  <si>
    <t>电池状态监测失效：主控故障可能导致无法准确监测电池的状态，如电压、电流、温度等参数的读取错误或不可靠。</t>
  </si>
  <si>
    <t>控故障可能导致电池管理系统无法实施有效的电池保护、均衡和优化控制策略，影响整个电池系统的性能和寿命。</t>
  </si>
  <si>
    <t>电池管理系统从控故障可能导致电池状态监测失效和电池管理功能受限，对电池系统的性能和安全性产生重大影响。</t>
  </si>
  <si>
    <t>电池管理系统为成熟的工业产品，主控故障的频率可能较低，但仍可能受到控制器硬件质量、软件开发质量、系统运行环境等因素的影响而出现故障。</t>
  </si>
  <si>
    <t>电池管理系统不正常工作，会将信息传到ECU，但不排除其内部损害导致其无法检测其错误。</t>
  </si>
  <si>
    <t>电池管理系统向ECU告警，断开AIRs，并亮起AMS指示灯</t>
  </si>
  <si>
    <t>由于AMS关闭了驱动系统，车辆失去动力但是车手仍然可以转向和制动，并且安全地停车。车辆会被推至维修区，推车人员需要穿戴所有防护器具（合规的高压手套，护目镜，摘除所有首饰）。维修区会被隔离，只有专业的队员在配套防护器具之后才能入内检修赛车。并对AMS进行检查修复故障之后，</t>
  </si>
  <si>
    <t>从控故障可能导致无法准确监测电池的状态，如电压、电流、温度等参数的读取错误或不可靠。</t>
  </si>
  <si>
    <t>控故障可能导致电池管理系统无法实施有效的电池保护、均衡和优化控制策略，影响整个电池系统的性能和寿命。主控故障可能导致无法及时检测和处理电池系统的故障或异常情况，增加了电池系统对车辆的危险。</t>
  </si>
  <si>
    <t>电池管理系统主控故障可能导致电池状态监测失效和电池管理功能受限，对电池系统的性能和安全性产生重大影响。</t>
  </si>
  <si>
    <t>其主控会检测其是否正常工作，电池管理系统不正常工作，会将信息传到ECU.</t>
  </si>
  <si>
    <t>温度传感器故障可能导致无法准确监测电池箱的温度，无法及时发现过热或过冷等异常情况。</t>
  </si>
  <si>
    <t>因为温度传感器故障可能导致温度监测失效和电池管理受限，对电池系统的性能和安全性产生重大影响。可能出现热管理失效，导致燃烧或者其他情况</t>
  </si>
  <si>
    <t>温度传感器为成熟的商业产品，以证明其在工业设计上符合车辆设计的相关要求。若由于异物入侵导致其失效等意外事故，这种事故模式多种多样无法完全预测。</t>
  </si>
  <si>
    <t>AMS会检测其温度传感器是否正常，且从AMS返回值亦能发现其异常。</t>
  </si>
  <si>
    <t>由于AMS关闭了驱动系统，车辆失去动力但是车手仍然可以转向和制动，并且安全地停车。车辆会被推至维修区，推车人员需要穿戴所有防护器具（合规的高压手套，护目镜，摘除所有首饰）。对电池箱相关温度传感器进行检查修复故障。</t>
  </si>
  <si>
    <t>部分电芯的温度无法返回AMS，造成AMS对电池箱的温度判断失误。</t>
  </si>
  <si>
    <t xml:space="preserve">AMS检测其故障，断开AIRs，驱动系统去使能，车辆失去动力 </t>
  </si>
  <si>
    <t>AMS会检测其温度传感器是否可以检测得到，并在无法检测到时，主动断开AIRs，停止向外输出。</t>
  </si>
  <si>
    <t>由于AMS关闭了驱动系统，车辆失去动力但是车手仍然可以转向和制动，并且安全地停车。车辆会被推至维修区，推车人员需要穿戴所有防护器具（合规的高压手套，护目镜，摘除所有首饰）。对电池箱相关温度传感器进行重新连线。</t>
  </si>
  <si>
    <t>电压检测输入故障可能导致无法准确监测电池箱的电压，无法及时发现电压异常或电池电量状态。</t>
  </si>
  <si>
    <t>无法准确监测电池箱电压可能增加电压异常引发的安全风险，如电池过充、电压失衡、电池损坏等。电池箱电压是电池状态和性能评估的关键指标之一，输入故障可能导致无法实施有效的电池管理策略，影响电池系统的性能和寿命。</t>
  </si>
  <si>
    <t>池箱电压检测输入故障可能导致电压监测失效和电池管理受限，对电池系统的性能和安全性产生重大影响。但一般不会产生对人伤害</t>
  </si>
  <si>
    <t>电压检测装置为成熟的商业产品，以证明其在工业设计上符合车辆设计的相关要求。若由于异物入侵导致其失效等意外事故，这种事故模式多种多样无法完全预测。</t>
  </si>
  <si>
    <t>AMS会检测其是否正常，若出现异常数据，AMS会返回异常数据。</t>
  </si>
  <si>
    <t>由于AMS关闭了驱动系统，车辆失去动力但是车手仍然可以转向和制动，并且安全地停车。车辆会被推至维修区，推车人员需要穿戴所有防护器具（合规的高压手套，护目镜，摘除所有首饰）。对电池箱电压检测模块进行检修。</t>
  </si>
  <si>
    <t>由于AMS关闭了驱动系统，车辆失去动力但是车手仍然可以转向和制动，并且安全地停车。车辆会被推至维修区，推车人员需要穿戴所有防护器具（合规的高压手套，护目镜，摘除所有首饰）。对电池箱电压检测模块进行检修，重新连线。</t>
  </si>
  <si>
    <t>可能导致电压检测线连接的电压检测模块烧毁，无法判断电压正确值。</t>
  </si>
  <si>
    <t>池箱电压检测输入故障可能导致电压监测失效和电池管理受限，对电池系统的性能和安全性产生重大影响。部分模块过热可能烫伤。</t>
  </si>
  <si>
    <t>一般情况下，电池箱不会异常放电，但在激烈驾驶时，可能会时功率急速增大，扭矩干预并不完备的话，可能会使其过流</t>
  </si>
  <si>
    <t>AMS会检测其是否正常，若出现异常数据，AMS会返回异常数据，并告知ECU从控断连</t>
  </si>
  <si>
    <t>由于AMS关闭了驱动系统，车辆失去动力但是车手仍然可以转向和制动，并且安全地停车。车辆会被推至维修区，推车人员需要穿戴所有防护器具（合规的高压手套，护目镜，摘除所有首饰）。对电池箱电压检测模块进行检修，但其过流原因多种多样，请注意辨析其原因，并作仔细分析。</t>
  </si>
  <si>
    <t>主控读不到从控数据，主控报错告警，返回错误代码，并断开AIRs。</t>
  </si>
  <si>
    <t>电池箱断开连接，驱动系统去使能，车辆失去动力，对车手的操控造成影响。</t>
  </si>
  <si>
    <t>从控连接线断连，AMS会切断AIRs，使车辆失去动力，但车手仍可以安全的停靠车辆。</t>
  </si>
  <si>
    <t>由于AMS关闭了驱动系统，车辆失去动力但是车手仍然可以转向和制动，并且安全地停车。车辆会被推至维修区，推车人员需要穿戴所有防护器具（合规的高压手套，护目镜，摘除所有首饰）。对电池箱主控从控之间的线束进行重新连接。</t>
  </si>
  <si>
    <t>继电器可能会被错误的闭合，电池箱的电气连接无法被断开，可能造成高压暴露或不正常的驱动系统使能</t>
  </si>
  <si>
    <t>驱动系统无法正常的去使能</t>
  </si>
  <si>
    <t>继电器可能会被错误的闭合，电池箱的电气连接无法被断开，可能造成高压暴露或不正常的驱动系统使能，若高压暴露，</t>
  </si>
  <si>
    <t>继电器异常工作，其返回值与工作状态不负，ECU会读取其错误，并告警。</t>
  </si>
  <si>
    <t>由于ECU将驱动器去使能，但车辆仍然可以进行控制，车辆会被推入检修区，相关维修人员会从上位机中读出其信号不可靠，并对问题进行排查，由穿戴齐全的技术人员，对相关继电器或三极管。</t>
  </si>
  <si>
    <t>继电器无法正确控制其闭合，导致安全回路无法正确的闭合，以至于驱动系统无法使能。</t>
  </si>
  <si>
    <t>车辆失去动力，对车手操控车辆产生影响。</t>
  </si>
  <si>
    <t>从控连接线断连，安全回路，使车辆失去动力，但车手仍可以安全的停靠车辆。</t>
  </si>
  <si>
    <t>继电器断连，AMS无法检测其偏置，检测其断连。</t>
  </si>
  <si>
    <t>电池管理系统向ECU告警，断开AIRs，并亮起AMS指示灯，告知车手。</t>
  </si>
  <si>
    <t>由于驱动系统断连，车辆失去动力但是车手仍然可以转向和制动，并且安全地停车。车辆会被推至维修区，推车人员需要穿戴所有防护器具（合规的高压手套，护目镜，摘除所有首饰）。对电池箱的继电器进行重新连接。</t>
  </si>
  <si>
    <t>AMS低压供电失效，AMS无法使能工作，电池箱无法正常工作，以至于驱动系统无法使能</t>
  </si>
  <si>
    <t>当AMS低压供电失效，安全回路会安全的断开，驱动系统去使能，车手仍可以安全的停靠</t>
  </si>
  <si>
    <t>若AMS为使能，ECU无法检测其状态，且AMS指示灯亮起。</t>
  </si>
  <si>
    <t>电池管理系统向ECU告警，AIRs不会闭合，并亮起AMS指示灯，告知车手。</t>
  </si>
  <si>
    <t>由于AIRs断开，但车辆仍然可以进行控制，车辆会被推入检修区，相关维修人员会从上位机中读出其信号不可靠，并对问题进行排查，重新检查线束连接。</t>
  </si>
  <si>
    <t>器件短路可能导致均衡控制功能无法正常工作，无法实现对电池单体的均衡充放电控制。</t>
  </si>
  <si>
    <t>开关器件短路可能导致电池单体之间的充放电不均匀，影响整个电池系统的性能和寿命。开关器件短路可能引发电流异常、过热甚至起火等安全风险，对电池系统和周围环境造成潜在危害。</t>
  </si>
  <si>
    <t>因为均衡控制开关器件短路可能导致均衡控制失效和均衡不均匀，对电池系统的性能和安全性产生重大影响。可能会导致电池的爆燃的危险</t>
  </si>
  <si>
    <t>均衡控制开关器件是一个成熟的商业产品，并且在安装时的多处我们都会考虑其合理性，短路的频率可能较低，但仍可能受到器件质量、电流过载、温度过高等因素的影响而发生短路故障。</t>
  </si>
  <si>
    <t>AMS会检测其是否正常，若出现异常数据，AMS会返回异常数据。但对其的检测并不能覆盖到所有方面</t>
  </si>
  <si>
    <t>电池管理系统向ECU告警，AIRs断开，并亮起AMS指示灯，告知车手。</t>
  </si>
  <si>
    <t>由于AIRs断开，但车辆仍然可以进行控制，车辆会被推入检修区，相关维修人员会从上位机中读出其信号不可靠，并对问题进行排查，重新检查均衡控制开关器件是否正常，其失效形式多种多样，请务必排查其失效原因。</t>
  </si>
  <si>
    <t>干扰可能导致通信信号中的数据位出现错误，从而影响主控和从控之间的数据传输和通信。通信干扰可能导致主控和从控之间的命令、状态信息传输失败或错误，从而影响整个AMS系统的控制和协调功能。</t>
  </si>
  <si>
    <t>导致整个电池的控制出现问题，导致电池处于不正常工作的情况。</t>
  </si>
  <si>
    <t>一般情况下，若收到强干扰导致数据错位，由于通讯协议中一般有校验位，这个问题能及时有效的发现。而不会造成人员受伤</t>
  </si>
  <si>
    <t>一般情况下，会在线束设计连接过程中多次检测其可靠性，保证其连接可靠。且在装车过程中，会多次测试其电磁屏蔽的有效性。</t>
  </si>
  <si>
    <t>一般情况下，若收到强干扰导致数据错位，由于通讯协议中一般有校验位，这个问题能及时有效的发现。</t>
  </si>
  <si>
    <t>若重复出现数据失真，AMS向ECU告警报错，AIRs断开，并亮起AMS指示灯告知车手。</t>
  </si>
  <si>
    <t>由于AIRs断开，但车辆仍然可以进行控制，车辆会被推入检修区，相关维修人员会从上位机中读出其信号不可靠，并对问题进行排查，其失效形式多种多样，请务必排查其失效原因，并对相关原因进行排查。</t>
  </si>
  <si>
    <t>缺乏AMS的情况下，无法进行精确的电池管理和控制，可能导致电池的性能下降，如电池容量损失、循环寿命缩短等。</t>
  </si>
  <si>
    <t>AMS没有安装，电池箱无法正常工作，无法对外输出，驱动系统无法使能</t>
  </si>
  <si>
    <t>缺乏AMS的情况下，无法进行精确的电池管理和控制，可能导致电池的现存状态未知，可能会导致潜在的安全问题。</t>
  </si>
  <si>
    <t>在电池箱的安装过程中的各个部分都会检查其是否安装，不安装概率极小。</t>
  </si>
  <si>
    <t>未安装AMS，ECU无法与其通信，且电池箱无法正常工作，AMS指示灯亮起。</t>
  </si>
  <si>
    <t>电池箱无法正确启动，且AMS指示灯亮起告知车手。</t>
  </si>
  <si>
    <t>由于AMS未安装，电池箱无法正常使能，，车辆会被推入检修区，由穿戴整齐的技术人员，进行安装。</t>
  </si>
  <si>
    <t>主环灯是车辆外观的重要组成部分，无法点亮的主环灯会无法向外界告知其车辆状态</t>
  </si>
  <si>
    <t>其他人员不知道其工作状态，可能会产生危险。</t>
  </si>
  <si>
    <t>无法点亮的主环灯会无法向外界告知其车辆状态，其他人员不知道其工作状态，可能会产生危险。</t>
  </si>
  <si>
    <t>主环灯故障无法点亮可能取决于多个因素，如灯泡寿命、电路连接质量、控制单元稳定性等。其各个环节均会得到寿命测试，在正常使用和维护的情况下，此类故障的发生频率可能较低。</t>
  </si>
  <si>
    <t>启动自检</t>
  </si>
  <si>
    <t>在启动自检中，会对主环灯进行检查，很容易发现其主环灯不亮。</t>
  </si>
  <si>
    <t>车辆会被推入检修区，相关维修人员会对其进行更换检查。</t>
  </si>
  <si>
    <t>TSAL的红色闪烁是用于警示其他车辆和行人的信号，如果在未激活状态下闪烁，可能导致警示功能受限。</t>
  </si>
  <si>
    <t>TSAL的正确工作对于其他车辆和行人的识别和预警至关重要。如果TSAL在未激活状态下闪烁，可能会导致其他道路使用者无法准确判断车辆的状态，增加事故风险。</t>
  </si>
  <si>
    <t>TSAL在未激活的情况下进入红色闪烁状态可能会导致警示功能受限，影响其他道路使用者的安全，因此具有一定的严重性。</t>
  </si>
  <si>
    <t>TSAL在未激活状态下进入红色闪烁的频率可能取决于控制信号或电路故障的发生频率。在正常使用和维护的情况下，此类故障的发生频率可能较低。</t>
  </si>
  <si>
    <t>断开的测量线会导致无法准确测量驱动系统的相关参数，从而使参数监测功能受限。</t>
  </si>
  <si>
    <t>驱动系统的参数监测对于电动车辆的性能和安全至关重要。如果测量线断开，可能无法准确监测驱动系统的状态，从而降低车辆性能和安全性。</t>
  </si>
  <si>
    <t>驱动系统参数监测的重要性，测量线断开可能会对车辆的使能状态无法监控。</t>
  </si>
  <si>
    <t>一般情况下，会在线束设计连接过程中多次检测其可靠性，保证其连接可靠。</t>
  </si>
  <si>
    <t>驱动系统参数监测的重要性，测量线断开可能会对车辆的使能状态无法监控。且可能会造成高压暴露，造成触电。</t>
  </si>
  <si>
    <t>由于缺乏供电，电池箱高压指示器无法正常工作，无法提供准确的高压状态指示。</t>
  </si>
  <si>
    <t>电池箱高压指示器的作用是向车辆操作者传达电池箱高压状态，以确保他们了解高压电力系统的存在。如果电池箱高压指示器失去供电，车辆操作者可能无法准确判断高压电力系统是否处于活动状态，增加潜在的安全风险。</t>
  </si>
  <si>
    <t>电池箱高压指示器失去供电，车辆操作者可能无法准确判断高压电力系统是否处于活动状态，增加潜在的安全风险。对维修作业产生危险</t>
  </si>
  <si>
    <t>很容易看到其没有示数，但有时没去检查则不会发现</t>
  </si>
  <si>
    <t>及时断开HVD，车辆会被推入检修区，相关维修人员会对其进行更换检查。</t>
  </si>
  <si>
    <t>由于鸣笛声音不可闻，车辆无法通过声音警示其他道路用户或行人。</t>
  </si>
  <si>
    <t>鸣笛是车辆通行过程中常用的警示手段，可以提醒其他道路用户注意车辆的存在。如果鸣笛不可闻，其他道路用户可能无法及时察觉车辆车辆状态，增加潜在的安全风险。</t>
  </si>
  <si>
    <t>由于鸣笛对车辆安全的重要性，无法闻到启动鸣笛声音可能会对车辆的安全产生一定的影响，周围人可能无法及时察觉车辆状态。</t>
  </si>
  <si>
    <t>启动鸣笛不可闻的频率可能取决于鸣笛装置的质量、安装和维护情况。在正常使用和维护的情况下，此类故障的发生频率可能较低。</t>
  </si>
  <si>
    <t>在启动自检中，会对鸣笛系统进行检查，很容易发现其主环灯不亮。</t>
  </si>
  <si>
    <t>车辆会被推入检修区，相关维修人员会对鸣笛装置进行更换检查。</t>
  </si>
  <si>
    <t>输入BSPD的信号可能不正确，可能输入为零或不能正确反应制动踏板的真实状况</t>
  </si>
  <si>
    <t>BSPD的工作状态不正常，可能会使BSPD不能正确的起到他该起到的作用BSPD的工作状态不正常，可能会使BSPD不能正确的起到他该起到的作用，导致车辆处于一种不正常的工作状态。</t>
  </si>
  <si>
    <t>由于车辆BSPD不正常工作，可能出现不工作情况，对车辆行驶安全产生影响，可能出现紧急情况，驱动系统不断开，对人员产生伤害。</t>
  </si>
  <si>
    <t>制动踏板传感器是一个成熟的商业产品，并且在安装时的多处我们都会考虑其合理性，损坏的频率可能较低，但仍可能受到器件质量、电流过载、温度过高等因素的影响而发生短路故障。</t>
  </si>
  <si>
    <t>BSPD</t>
  </si>
  <si>
    <t>若输入断连，无偏至，BSPD检测其输入信号不可靠，断开安全回路，但若其传感器卡在某一位置且不随踏板运动而运动，则无法检测其失效。</t>
  </si>
  <si>
    <t>若BSPD检测到其输入信号不可靠，则主动断开安全回路，将驱动系统去使能。</t>
  </si>
  <si>
    <t>由于BSPD断开了安全回路，车辆失去动力但是车手仍然可以转向和制动，并且安全地停车。车辆会被推至维修区，并由专业的人士进行安全回路检查，并对其失效原因进行检查，注意，其失效形式多种多样，请仔细查明为何失效，并针对不同情况进行处理。</t>
  </si>
  <si>
    <t>输入BSPD的信号可能不正确，可能输入为零或不能正确反应传输到电机中的功率的真实状况</t>
  </si>
  <si>
    <t>BSPD的工作状态不正常，可能会使BSPD不能正确的起到他该起到的作用，导致车辆处于一种不正常的工作状态。</t>
  </si>
  <si>
    <t>电流传感器是一个成熟的商业产品，并且在安装时的多处我们都会考虑其合理性，损坏的频率可能较低，但仍可能受到器件质量、电流过载、温度过高等因素的影响而发生短路故障。</t>
  </si>
  <si>
    <t>BSPD无法工作。</t>
  </si>
  <si>
    <t>安全回路无法正确闭合，驱动系统断开</t>
  </si>
  <si>
    <t>BSPD供电断开，安全回路会断开，驱动系统断开连接，车辆安全的失去动力，一般不会产生伤害。</t>
  </si>
  <si>
    <t>BSPD供电断开，安全回路断开，无法正确使能驱动系统，车辆无法正确启动，其必能发现</t>
  </si>
  <si>
    <t>BSPD供电断开，安全回路断开，无法正确使能驱动系统，车辆失去动力。</t>
  </si>
  <si>
    <t>由于BSPD断开了安全回路，车辆失去动力但是车手仍然可以转向和制动，并且安全地停车。车辆会被推至维修区，并由专业的人士进行安全回路检查，并对BSPD的供电模块和供电连接进行检查。</t>
  </si>
  <si>
    <t>BSPD无法正确的控制安全回路，可能造成安全回路无法正确的断开。</t>
  </si>
  <si>
    <t>BSPD可能无法控制安全回路断开，造成驱动系统不能正常的断开，可能造成出事故而电机依然使能。</t>
  </si>
  <si>
    <t>我们选择的控制继电器，是一个成熟的商业产品，并且在安装时的多处我们都会考虑其合理性，损坏的频率可能较低，但仍可能受到器件质量、电流过载、温度过高等因素的影响而发生短路故障。</t>
  </si>
  <si>
    <t>继电器异常工作，其返回值与工作状态不一致。</t>
  </si>
  <si>
    <t>一般情况下，继电器为常开继电器,安全回路会被断开，车辆失去动力但是车手仍然可以转向和制动，并且安全地停车。车辆会被推至维修区，并由专业的人士进行安全回路检查，并对BSPD的供电模块和供电连接进行检查。</t>
  </si>
  <si>
    <t>BSPD无法正确的控制安全回路，可能造成安全回路无法正确的闭合。</t>
  </si>
  <si>
    <t>安全回路无法正确的闭合，驱动系统无法正确的使能。</t>
  </si>
  <si>
    <t>其连接断开，由于继电器为常开型，安全回路会断开，驱动系统断开连接，车辆安全的失去动力，一般不会产生伤害。</t>
  </si>
  <si>
    <t>安全回路无法闭合，一定能检测到。</t>
  </si>
  <si>
    <t>安全回路断开</t>
  </si>
  <si>
    <t>其连接断开，安全回路会断开，驱动系统断开连接，车辆安全的失去动力，一般不会产生伤害。</t>
  </si>
  <si>
    <t>在安全回路安装过程中的各个部分都会检查其是否安装，不安装概率极小。</t>
  </si>
  <si>
    <t>无法正确的控制其所控制的线路，造成安全回路无法正确的闭合。</t>
  </si>
  <si>
    <t>安全回路无法正确的闭合，驱动系统无法正确使能</t>
  </si>
  <si>
    <t>由于断开了安全回路，车辆失去动力但是车手仍然可以转向和制动，并且安全地停车。车辆会被推至维修区，并由专业的人士进行安全回路检查。</t>
  </si>
  <si>
    <t>无法正确的控制其所控制的线路，造成安全回路无法正确的切换状态。</t>
  </si>
  <si>
    <t>安全回路无法正确的闭合或，驱动系统状态不正常。</t>
  </si>
  <si>
    <t>安全回路无法通过此开关转换开关形式，安全回路无法正确断开，但其开关有多个，仍能通过其他方法断开，一般不会产生伤害。</t>
  </si>
  <si>
    <t>开关是一个成熟的商业产品，并且在安装时的多处我们都会考虑其合理性，损坏的频率可能较低.</t>
  </si>
  <si>
    <t>单个开关无法控制安全回路，一定能检测到</t>
  </si>
  <si>
    <t>当发现开关有问题时，及时通过其他方式断开安全回路，车辆失去动力但是车手仍然可以转向和制动，并且安全地停车。车辆会被推至维修区，并由专业的人士进行安全回路检查，并对开关进行更换。</t>
  </si>
  <si>
    <t>安全措施失效：安全回路的开关异常断开可能导致安全措施无法触发或失效。例如，气囊系统的开关异常断开可能导致气囊无法充气，无法提供必要的保护。这会增加乘员在碰撞中受伤的风险。车辆损坏加剧：安全回路中的开关异常断开可能导致车辆在碰撞过程中无法及时切断燃油供应或其他动力系统，进一步加剧车辆损坏的程度。例如，燃油泵无法及时切断可能导致燃油泄漏，增加起火风险。</t>
  </si>
  <si>
    <t>不仅对车手人身安全造成危害，也对车队成员、周围人员产生极大的安全隐患。</t>
  </si>
  <si>
    <t>安全措施失效：安全回路的开关异常断开可能导致安全措施无法触发或失效。在危险情况下无法立刻切断能量供应或打开安全气囊。不仅对车手人身安全造成危害，也对车队成员、周围人员产生极大的安全隐患。</t>
  </si>
  <si>
    <t>车辆制造商在设计和制造安全回路及其开关时，通常会采用高品质的材料和先进的制造工艺。这些优质的设计和制造可以提高开关的可靠性和耐用性，减少开关异常断开的概率。车辆制造商会对安全回路和开关系统进行严格的测试和验证。这些测试包括模拟碰撞测试、振动测试、温度测试等，以确保开关在各种条件下的可靠性和稳定性。通过这些测试，制造商可以发现和解决潜在的问题，降低开关异常断开的风险。汽车行业有一系列强制性的安全标准和法规。这些标准要求车辆制造商在设计和制造过程中遵守严格的安全要求。这些要求涵盖了安全回路和开关系统的可靠性、功能和性能等方面，以确保车辆在发生碰撞时能够提供适当的保护和安全性能。</t>
  </si>
  <si>
    <t>失效检测模式往往采用多重检测手段，例如内置自检功能、冗余设计和故障检测系统的组合。通过多重检测手段，可以增加对开关状态的监测和判断，提高检测的准确性和可靠性。不同的检测手段相互补充，可以互相验证，并降低误报或漏报的风险。代车辆采用了高精度的传感器和电子控制单元（ECU），能够准确地监测开关的状态和信号。车辆制造商在设计和制造过程中进行了严格的测试和验证。这些测试包括模拟碰撞测试、振动测试、温度测试等，以验证失效检测模式的可靠性和稳定性。通过对各种情况下的模拟测试，可以发现和解决潜在的问题，确保失效检测模式在实际应用中的可靠性。</t>
  </si>
  <si>
    <t>安全回路故障灯亮起，电池箱断电，驱动系统去使能</t>
  </si>
  <si>
    <t>车辆会被推至维修区，推车人员需要穿戴所有防护器具（合规的高压手套，护目镜，摘除所有首饰）。维修区会被隔离，只有专业的队员在配套防护器具之后才能入内检修赛车。绝缘检测设备，例如带有此功能的万用表，将被用来诊断和定位此故障。修复故障之后，车辆必须进行绝缘电阻测试和绝缘检测装置测试来确保安全。除非绝缘故障已经被完全排除了，禁止闭合AIRs。</t>
  </si>
  <si>
    <t>安全措施失效：惯性开关的异常可能导致安全措施无法触发或失效。例如，气囊系统的开关异常断开可能导致气囊无法充气，无法提供必要的保护。这会增加乘员在碰撞中受伤的风险。车辆损坏加剧：安全回路中的开关异常断开可能导致车辆在碰撞过程中无法及时切断燃油供应或其他动力系统，进一步加剧车辆损坏的程度。例如，燃油泵无法及时切断可能导致燃油泄漏，增加起火风险。</t>
  </si>
  <si>
    <t>安全措施失效：惯性开关的异常可能导致安全措施无法触发或失效。在危险情况下无法立刻切断能量供应或打开安全气囊。不仅对车手人身安全造成危害，也对车队成员、周围人员产生极大的安全隐患。</t>
  </si>
  <si>
    <t>重要安全部件车队会引起重视，很不容易出现纰漏，出现不安装惯性开关的现象</t>
  </si>
  <si>
    <t>车辆会被推至维修区，推车人员需要穿戴所有防护器具（合规的高压手套，护目镜，摘除所有首饰）。维修区会被隔离，只有专业的队员在配套防护器具之后才能入内为赛车安装惯性开关。绝缘检测设备，例如带有此功能的万用表，将被用来诊断和定位此故障。安装惯性开关之后，车辆必须进行绝缘电阻测试和绝缘检测装置测试来确保安全。除非绝缘故障已经被完全排除了，禁止闭合AIRs。</t>
  </si>
  <si>
    <t>可能会导致动力系统出现故障或无法正常工作。</t>
  </si>
  <si>
    <t>连接断开可能会导致车辆无法通过诊断或安全检查。这可能会对车辆的合法性、可靠性和安全性产生负面影响。</t>
  </si>
  <si>
    <t>当对驱动系统电压任意一极的连接断开导致电池电压过高无法检测时，增加电池爆炸或溅出的风险。这可能对人身安全造成严重威胁，并引发火灾。过高的驱动系统电压也可能对其他电子设备和系统造成损坏，如电机控制单元、电动设备等。这可能导致车辆的其他功能受损或无法正常工作。</t>
  </si>
  <si>
    <t>选择的线束是可靠的企业级产品，能够耐受化学腐蚀和物理冲击。线束连接过程中，过程如果符合规范，一般不会发生损坏或者切断。</t>
  </si>
  <si>
    <t>安全回路，故障码检测</t>
  </si>
  <si>
    <t>安全回路会实时检测驱动系统正负极的电压及电压差，当任意一极未能检测到信号都会导致电力断供。故障诊断码的可信度一般相对较高，故障诊断码是由汽车制造商根据标准化的诊断协议定义的，且其是根据车辆ECU内部的故障检测算法生成的。这些算法基于预设的故障条件和故障识别规则，将特定的故障转化为对应的故障码。</t>
  </si>
  <si>
    <t>驱动系统正负极任意一极电压未能检测的情况下,安全回路被切断，驱动系统去能，故障指示器点亮以提示车手。</t>
  </si>
  <si>
    <t>DC/DC 输入电流过大，会导致模块发热，影响其输出效率，从而导致低压系统内一些元件无法正常工作，同时也会会导致模块发热，严重时烧坏印制板，进而损毁模块使其失效。</t>
  </si>
  <si>
    <t>DC/DC 输入电流过大，会导致模块发热，影响其输出效率，从而导致低压系统内一些元件无法正常工作，甚至导致模块烧毁，影响整车的控制，导致车辆处于一种不正常的工作状态。</t>
  </si>
  <si>
    <t>DC/DC 输入电流过大，会导致模块发热，影响其输出效率，从而导致低压系统内一些元件无法正常工作，甚至导致模块烧毁，影响整车的控制，导致车辆处于一种不正常的工作状态，不仅对车手人身安全造成危害，也对车队成员、周围人员产生极大的安全隐患。</t>
  </si>
  <si>
    <t>在设计的过程中为驱动系统电压转化为低压系统电压设计了实时监控，在出现DC/DC输入电流过大的情况时会向车手及时发出警报，不易出现因为DC/DC 输入电流过大，导致模块发热，影响输出效率，从而导致低压系统内一些元件无法正常工作，甚至烧坏印制板，进而损毁模块使其失效，影响整车控制的现象发生。</t>
  </si>
  <si>
    <t>高低压转换器检测</t>
  </si>
  <si>
    <t>在设计的过程中为驱动系统电压转化为低压系统电压设计了实时监控，在出现DC/DC输入电流过大的情况时会向车手及时发出警报，不易出现因为DC/DC 输入电流过大而车手并不知晓的情况，同时在设计过程中对于电路的设计不会出现超过元件负荷的情况，所以该现象不易产生。</t>
  </si>
  <si>
    <t>低压系统检测到DC/DC输入电流过大时，断开LVMS，并使AIRs抬起，电池箱断电，，AMS指示灯亮起，驱动系统去使能。</t>
  </si>
  <si>
    <t>LVMS断开，低压系统停止工作，但是车手仍然可以安全地停车。由穿戴所有防护器具（合规的高压手套，护目镜，摘除所有首饰）的安全员推至维修区，维修区会被隔离，只有专业的队员在配套防护器具之后才能入内检修赛车。待模块冷却至正常工作温度后进行修复，修复故障过程中，一定要检测其低压系统是否存在故障，并明确其出现故障的原因，确保故障完全排除。</t>
  </si>
  <si>
    <t>DC/DC使高压电池过放可能造成电极活性物质损伤，失去反应能力，使蓄电池寿命缩短</t>
  </si>
  <si>
    <t>DC/DC使高压电池过放可能造成电极活性物质损伤，失去反应能力，使蓄电池寿命缩短，不能保证其在长时间使用的情况下有良好的工作状态，进而影响整车工作状态。</t>
  </si>
  <si>
    <t>DC/DC使高压电池过放对于电池寿命有严重损害但是从整车角度讲对于安全性的影响并不算很大，主要影响在于经济损失。</t>
  </si>
  <si>
    <t>高压电池放电有车队专门人员进行负责与操作，一般情况下并不会出现，高压电池过放的情况</t>
  </si>
  <si>
    <t>若是驱动系统电压转化为低压系统电压时，DC/DC使高压电池过放，则由穿戴所有防护器具（合规的高压手套，护目镜，摘除所有首饰）的安全员推至维修区，维修区会被隔离，只有专业的队员在配套防护器具之后才能入内检修赛车，在使用万用表确定具体情况后，确定电池过放原因并对其进行修复。</t>
  </si>
  <si>
    <t>DC/DC 过热会影响其输出效率，从而导致低压系统内一些元件无法正常工作，严重时烧坏印制板，进而损毁模块使其失效，甚至引发失火。</t>
  </si>
  <si>
    <t>DC/DC 过热会影响其输出效率，从而导致低压系统内一些元件无法正常工作，严重时烧坏印制板，进而损毁模块使其失效，同时影响整车的控制，导致车辆处于一种不正常的工作状态，甚至在长时间未得到妥善处理时引发失火。</t>
  </si>
  <si>
    <t>DC/DC 过热会影响其输出效率，从而导致低压系统内一些元件无法正常工作，严重时烧坏印制板，进而损毁模块使其失效，甚至引发失火，不仅对车手人身安全造成危害，也对车队成员、周围人员产生极大的安全隐患。</t>
  </si>
  <si>
    <t>在设计的过程中为驱动系统电压转化为低压系统电压设计了实时监控，在出现DC/DC温度过高的情况下会向车手及时发出警报，不易出现因为DC/DC 过热，影响输出效率，从而导致低压系统内一些元件无法正常工作，甚至烧坏印制板，进而损毁模块使其失效，影响整车控制，甚至引发失火的现象发生。</t>
  </si>
  <si>
    <t>在设计的过程中为驱动系统电压转化为低压系统电压设计了实时监控，在出现DC/DC过热的情况时会向车手及时发出警报，不易出现因为DC/DC过热而车手并不知晓的情况，同时在设计过程中对于电路的设计不会出现超过元件负荷的情况，同时也会对出现短路现象的可能影响因素进行检查，所以该现象不易产生。</t>
  </si>
  <si>
    <t>低压系统检测到DC/DC过热时，断开LVMS，并使AIRs抬起，电池箱断电，，AMS指示灯亮起，驱动系统去使能。</t>
  </si>
  <si>
    <t>DC/DC短路会使其过热进而影响其输出效率，从而导致低压系统内一些元件无法正常工作，严重时烧坏印制板，进而损毁模块使其失效，甚至引发失火。</t>
  </si>
  <si>
    <t>DC/DC短路会使其过热进而影响其输出效率，从而导致低压系统内一些元件无法正常工作，严重时烧坏印制板，进而损毁模块使其失效，同时影响整车的控制，导致车辆处于一种不正常的工作状态，甚至在长时间未得到妥善处理时引发失火。</t>
  </si>
  <si>
    <t>DC/DC短路会使其过热进而影响其输出效率，从而导致低压系统内一些元件无法正常工作，严重时烧坏印制板，进而损毁模块使其失效，甚至引发失火，不仅对车手人身安全造成危害，也对车队成员、周围人员产生极大的安全隐患。</t>
  </si>
  <si>
    <t>由于低压系统电压较低可能导致低压系统中部分元件不能正常工作，同时也有可能因为电压过低导致产热上升熔毁部分起保护作用的元件</t>
  </si>
  <si>
    <t>由于低压系统电压较低可能导致低压系统中部分元件不能正常工作，同时也有可能因为电压过低导致产热上升熔毁部分起保护作用的元件，进而影响整车的信号传输以及控制，导致车辆处于一种不正常的工作状态。</t>
  </si>
  <si>
    <t>低压系统电压过低引起部分元件出现无法正常正常工作的状态甚至于引起电路崩溃，甚至导致车辆电控系统失灵。</t>
  </si>
  <si>
    <t>在设计的过程中为低压系统电源电压设计了实时监控，在出现电压过低的情况时会向车手及时发出警报，不易出现因长时间发热而导致元件功能出现严重异常甚至烧毁，进而影响整车控制的现象发生。</t>
  </si>
  <si>
    <t>我们采用的OEM样式电池是一款产品级设备，经过测试可以适用于赛车中的各种工况。且当其如果失效时，可以在温度数据采集过程中发现异常。</t>
  </si>
  <si>
    <t>低压系统中电压检测装置检测到电压过低时，电池箱断电，AMS指示灯亮起，驱动系统去使能。</t>
  </si>
  <si>
    <t>LVMS断开，低压系统停止工作，但是车手仍然可以安全地停车。由穿戴所有防护器具（合规的高压手套，护目镜，摘除所有首饰）的安全员推至维修区，维修区会被隔离，只有专业的队员在配套防护器具之后才能入内检修赛车。修复故障过程中，一定要检测其低压系统电源是否存在故障，并明确其出现故障的原因，确保故障完全排除。</t>
  </si>
  <si>
    <t>车辆对扭矩请求失去干预，车辆更加难以控制，车手操作容易出现打滑，影响车辆的实际动力输出。</t>
  </si>
  <si>
    <t>车手在动力学控制ECU的保护下操作容易更加极限，扭矩控制保护的突然丧失会使车辆失控，对车手及周围人群产生安全风险.如车辆动力学控制ECU完全紊乱，持续进行最大功率输出，车辆将失控，产生极大安全风险</t>
  </si>
  <si>
    <t>ECU是经过严格测试和设计的关键电子控制单元。ECU的设计和制造具有高度可靠性</t>
  </si>
  <si>
    <t>故障诊断码</t>
  </si>
  <si>
    <t>故障诊断码的可信度一般相对较高，故障诊断码是由汽车制造商根据标准化的诊断协议定义的，且其是根据车辆ECU内部的故障检测算法生成的。这些算法基于预设的故障条件和故障识别规则，将特定的故障转化为对应的故障码。</t>
  </si>
  <si>
    <t>故障指示灯亮起，车辆报警，远程遥测出现故障码提示</t>
  </si>
  <si>
    <t>远程遥测出现故障码提示时立即无线电通知车手制动，并且安全地停车。车辆会被推至维修区，推车人员需要穿戴所有防护器具（合规的高压手套，护目镜，摘除所有首饰）。维修区会被隔离，只有专业的队员在配套防护器具之后才能入内检修赛车。绝缘检测设备，例如带有此功能的万用表，将被用来诊断和定位此故障。修复故障之后，车辆必须进行绝缘电阻测试和绝缘检测装置测试来确保安全。除非绝缘故障已经被完全排除了，禁止闭合AIRs。</t>
  </si>
  <si>
    <t>车辆对扭矩请求失去干预，车辆更加难以控制，车手操作容易出现打滑，影响车辆的实际动力输出。或者该ECU因为方向盘转角数据无法读取，直接进行动力切断，影响赛车的正常运行和车组的比赛节奏。</t>
  </si>
  <si>
    <t>车手在动力学控制ECU的保护下操作容易更加极限，方向盘转角数据缺失导致的扭矩控制保护的突然丧失会使车辆失控，对车手及周围人群产生安全风险。</t>
  </si>
  <si>
    <t>若车辆动力动力学控制ECU从方向盘传来的转角数据读取出现问题，该ECU将限制动力或切断动力，保障车手驾驶的安全。扭矩控制的减少会使车辆更加难以控制，可能会出现暂时的驾驶失误式失控，但并不会发生危险性失控。</t>
  </si>
  <si>
    <t>故障指示灯亮起，远程遥测出现故障码提示</t>
  </si>
  <si>
    <t>车辆方向失控，危及车手的生命安全。</t>
  </si>
  <si>
    <t>车辆方向失控，失控车辆对车队人员及周围人群产生极大的安全风险。</t>
  </si>
  <si>
    <t>车辆方向失控，危及车手的生命安全。失控车辆对车队人员及周围人群产生极大的安全风险</t>
  </si>
  <si>
    <t>故障指示灯亮起，电池箱断电，驱动系统去使能，车辆报警，远程遥测出现故障码提示</t>
  </si>
  <si>
    <t>由于油门踏板没有信号输入，车辆丧失动力，影响赛车性能的发挥。</t>
  </si>
  <si>
    <t>增加检修及期间繁琐的安全操作，拖缓车队的比赛节奏。</t>
  </si>
  <si>
    <t>由于油门踏板没有信号输入，车辆丧失动力，制动系统与安全回路皆无影响，安全风险相对较小。</t>
  </si>
  <si>
    <t>故障指示灯亮起，车辆报警，ECU出现故障码提示</t>
  </si>
  <si>
    <t>油门信号紊乱使车辆动力输出紊乱，影响车手的驾驶与赛车性能的发挥。</t>
  </si>
  <si>
    <t>倘若油门不受控制一直进行100%开度信号输入，车辆极容易失控，对车手生命安全及车队人员、周围人员造成极大的安全风险。</t>
  </si>
  <si>
    <t>倘若油门不受控制一直进行100%开度信号输入，车辆极容易失控，对车手生命安全及车队人员、周围人员造成极大的安全风险。但是制动系统没有故障，踩下制动啊版即可断供动力，稳定赛车使其停止失控。</t>
  </si>
  <si>
    <t>ABS系统失效：轮速传感器故障可能导致ABS系统无法正常工作。ABS系统负责监测车轮的速度差异，以确保在制动时车轮不会完全锁死。如果轮速传感器无法提供准确的车轮转速信息，ABS系统可能会无法正确操作，从而导致制动性能下降。牵引力控制系统故障：一些车辆还配备了牵引力控制系统或稳定控制系统，它们依赖于轮速传感器来监测车轮的转速和抓地力。如果轮速传感器发生故障，TCS或ESC系统可能无法正常工作，导致牵引力控制不准确或失效。速度计不准确：车辆的仪表盘上的速度计通常是通过轮速传感器提供的数据来计算车辆的速度。可能会导致仪表盘上速度无法显示。</t>
  </si>
  <si>
    <t>赛车依然能正常制动、提供牵引力，但是ABS无法工作，车辆制动性能下降。增加检修及期间繁琐的安全操作，拖缓车队的比赛节奏。</t>
  </si>
  <si>
    <t>轮速信号缺失不影响赛车的制动与牵引力提供</t>
  </si>
  <si>
    <t>ABS系统失效：轮速传感器故障可能导致ABS系统无法正常工作。ABS系统负责监测车轮的速度差异，以确保在制动时车轮不会完全锁死。如果轮速传感器无法提供准确的车轮转速信息，ABS系统可能会无法正确操作，从而导致制动性能下降。牵引力控制系统故障：一些车辆还配备了牵引力控制系统（TCS）或稳定控制系统（ESC），它们依赖于轮速传感器来监测车轮的转速和抓地力。如果轮速传感器发生故障，TCS或ESC系统可能无法正常工作，导致牵引力控制不准确或失效。速度计不准确：车辆的仪表盘上的速度计通常是通过轮速传感器提供的数据来计算车辆的速度。可能会导致仪表盘上速度显示不准确。</t>
  </si>
  <si>
    <t>赛车的制动性能下降。由于轮速信号故障，平稳行驶的赛车倘若发出有差异的轮速，将会触发紊乱的ABS，混乱的ABS工作时容易导致车辆的轮速产生差异，偏离车手预期，容易导致赛车失控，产生安全风险。</t>
  </si>
  <si>
    <t>轮速传感器会触发紊乱的ABS，混乱的ABS工作时容易导致致赛车失控，产生安全风险。</t>
  </si>
  <si>
    <t>故障指示灯亮起，车辆报警，电池箱断电，驱动系统去使能，远程遥测出现故障码提示</t>
  </si>
  <si>
    <t>能量回收功能降低：能量回收系统通过将制动过程中的动能转换为电能储存到电池中，以提高车辆的燃油经济性和能源利用效率。如果能量回收ECU故障，可能会导致能量回收功能的降低或完全失效，从而影响能源利用效率。制动系统问题：能量回收ECU通常与制动系统紧密相关，因为能量回收系统依赖于制动过程中的能量回收。如果能量回收ECU故障，可能会对制动系统产生影响，例如制动力分配不均或制动效果下降。能源管理受影响：能量回收ECU还负责协调和管理车辆能源系统，包括电池充放电控制和能量流的优化。故障的能量回收ECU可能无法有效管理能源流动和电池的充放电过程，导致能源管理方面的问题。</t>
  </si>
  <si>
    <t>ECU的损坏可能会影响到制动系统的正常运行，导致制动性能下降。这可能会增加制动距离，降低制动的稳定性和可控性，有安全隐患。ECU的损坏可能会导致整体车辆性能下降，包括加速性能、能源利用效率和续航里程等方面的影响，影响车辆性能的发挥。</t>
  </si>
  <si>
    <t>能量回收ECU损坏会影响能量利用率和刹车性能，只存在对车辆性能的影响，而并不会造成巨大的安全隐患</t>
  </si>
  <si>
    <t xml:space="preserve">能量回收ECU相关传感器包括制动压力传感器、车速传感器、电池电流传感器等，传感器故障会使能量回收功能降低：能量回收系统通过将制动过程中的动能转换为电能储存到电池中，以提高车辆的燃油经济性和能源利用效率。如果能量回收ECU故障，可能会导致能量回收功能的降低或完全失效，从而影响能源利用效率。制动系统问题：能量回收ECU通常与制动系统紧密相关，因为能量回收系统依赖于制动过程中的能量回收。如果能量回收ECU故障，可能会对制动系统产生影响，例如制动力分配不均或制动效果下降。能源管理受影响：能量回收ECU还负责协调和管理车辆能源系统，包括电池充放电控制和能量流的优化。故障的能量回收ECU可能无法有效管理能源流动和电池的充放电过程，导致能源管理方面的问题               </t>
  </si>
  <si>
    <t xml:space="preserve">能量回收ECU相关传感器包括制动压力传感器、车速传感器、电池电流传感器等，传感器信号传输受损会使能量回收功能降低：能量回收系统通过将制动过程中的动能转换为电能储存到电池中，以提高车辆的燃油经济性和能源利用效率。如果能量回收ECU出现故障，可能会导致能量回收功能的降低或完全失效，从而影响能源利用效率。制动系统问题：能量回收ECU通常与制动系统紧密相关，因为能量回收系统依赖于制动过程中的能量回收。如果能量回收ECU故障，可能会对制动系统产生影响，例如制动力分配不均或制动效果下降。能源管理受影响：能量回收ECU还负责协调和管理车辆能源系统，包括电池充放电控制和能量流的优化。故障的能量回收ECU可能无法有效管理能源流动和电池的充放电过程，导致能源管理方面的问题               </t>
  </si>
  <si>
    <t>ECU的信号传输受损可能会影响到制动系统的正常运行，导致制动性能下降。这可能会增加制动距离，降低制动的稳定性和可控性，有安全隐患。ECU的损坏可能会导致整体车辆性能下降，包括加速性能、能源利用效率和续航里程等方面的影响，影响车辆性能的发挥。</t>
  </si>
  <si>
    <t>能量回收ECU信号传输受损会影响能量利用率和刹车性能，只存在对车辆性能的影响，而并不会造成巨大的安全隐患</t>
  </si>
  <si>
    <t xml:space="preserve">能量回收系统通过将制动过程中的动能转换为电能储存到电池中，以提高车辆的燃油经济性和能源利用效率。如果能量回收ECU出现故障，可能会导致能量回收功能的降低或完全失效，从而影响能源利用效率。同时，能量回收ECU通常与制动系统紧密相关，因为能量回收系统依赖于制动过程中的能量回收。如果能量回收ECU在高速时误触发，可能会对制动系统产生影响，例如制动力分配不均或制动效果下降。故障的能量回收ECU可能无法有效管理能源流动和电池的充放电过程，导致能源管理方面的问题               </t>
  </si>
  <si>
    <t>后轮回收制动在高速时误触发会影响运行状态下车辆的速度，大幅降低能量利用效率，同时有可能因为高速状态下的紧急减速而导致车辆失控等安全隐患出现。</t>
  </si>
  <si>
    <t>远程遥测出现故障码提示时立即无线电通知车手制动，并且安全地停车。车辆会被推至维修区，推车人员需要穿戴所有防护器具（合规的高压手套，护目镜，摘除所有首饰）。维修区会被隔离，只有专业的队员在配套防护器具之后才能入内检修赛车。。</t>
  </si>
  <si>
    <t>1.触电风险：高压电源可能对人体构成触电风险，可能导致电击伤害或死亡。如果未连接的插件存在高压，接触导电部分可能会导致电流通过身体，造成电击。2.短路风险：存在高压的插件可能会导致电路短路。如果有电流通过短路路径流动，可能会引发火灾、电弧或电路过载，对设备和环境造成损坏。3.设备损坏：长时间存在高压可能对充电机本身造成损坏。电子元件和电路在不正确的电压下可能无法正常工作，可能导致设备故障或完全损坏。</t>
  </si>
  <si>
    <t>火灾风险：存在高压的插件可能引发火灾。如果电路故障或过热，可能引发电器设备附近的可燃物燃烧，导致火灾，对车队人员、周围人员都造成极大的安全隐患。</t>
  </si>
  <si>
    <t>充电机残留高压不仅使接触者有触电危险，高压引起的过热甚至燃烧更使车队人员及周围工作者承担极大的安全隐患。</t>
  </si>
  <si>
    <t>企业级电池箱配备的充电机设计通常会包括安全机制来确保在未连接时切断高压电源。这些安全机制可以包括电子开关、继电器、断路器等。</t>
  </si>
  <si>
    <t>避免接触任何插座、插头或充电机的高压部分。尽快断开充电机的电源，可以通过从电源插座中拔掉插头或关闭主电源开关来完成。联系专业的维修人员或制造商，他们可以提供进一步的建议和支持。</t>
  </si>
  <si>
    <t>任意电压、电流、温度等指标监测出现问题都会引发电池短时间内性能不足，甚至短时间引起过热，缩短电池寿命</t>
  </si>
  <si>
    <t>如温度、电压、电流等重要指标检测出现问题会导致重大安全隐患，随时伴有燃爆风险，对车队人员和周围人员造成极大的安全隐患。</t>
  </si>
  <si>
    <t>安全回路监测任意一个指标发生问题都会导致重大安全隐患，随时伴有燃爆风险，对车队人员和周围人员造成极大的安全隐患。</t>
  </si>
  <si>
    <t>车队采取的电池管理系统是成熟的企业级设备，具有很高的可靠性，不管在耐用度、温度耐受度还是抗物理冲击性都有可靠的表现。</t>
  </si>
  <si>
    <t>故障诊断码、AMS指示灯</t>
  </si>
  <si>
    <t>电动汽车电池管理系统通常具有自我诊断和故障检测功能，可以检测和报告系统自身的问题。</t>
  </si>
  <si>
    <t>AMS指示灯提示故障，车辆报警，ECU出现故障码提示</t>
  </si>
  <si>
    <t>远程遥测出现故障码提示时立即无线电通知车手制动，并且安全地停车。车辆会被推至维修区，推车人员需要穿戴所有防护器具（合规的高压手套，护目镜，摘除所有首饰）。维修区会被隔离，只有专业的队员在配套防护器具之后才能入内检修赛车。对其进行检修</t>
  </si>
  <si>
    <t>E24</t>
    <phoneticPr fontId="18" type="noConversion"/>
  </si>
  <si>
    <t>东南大学</t>
    <phoneticPr fontId="18" type="noConversion"/>
  </si>
  <si>
    <t>15512188198@163.com</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</si>
</sst>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
      <sz val="8"/>
      <color rgb="FF000000"/>
      <name val="SimSun"/>
      <charset val="134"/>
    </font>
    <font>
      <b/>
      <sz val="18"/>
      <name val="Arial"/>
      <family val="2"/>
    </font>
    <font>
      <sz val="8"/>
      <name val="Arial"/>
      <family val="2"/>
    </font>
    <font>
      <sz val="10"/>
      <name val="Arial"/>
      <family val="2"/>
    </font>
    <font>
      <u/>
      <sz val="11"/>
      <color theme="10"/>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23" fillId="0" borderId="0" applyNumberFormat="0" applyFill="0" applyBorder="0" applyAlignment="0" applyProtection="0">
      <alignment vertical="center"/>
    </xf>
  </cellStyleXfs>
  <cellXfs count="5">
    <xf numFmtId="0" fontId="0" fillId="0" borderId="0" xfId="0">
      <alignment vertical="center"/>
    </xf>
    <xf numFmtId="0" fontId="19" fillId="0" borderId="0" xfId="0" applyFont="1" applyBorder="1" applyAlignment="1">
      <alignment horizontal="left" vertical="top" wrapText="1"/>
    </xf>
    <xf numFmtId="0" fontId="21" fillId="0" borderId="0" xfId="0" applyFont="1" applyBorder="1" applyAlignment="1">
      <alignment vertical="top" wrapText="1"/>
    </xf>
    <xf numFmtId="0" fontId="22" fillId="0" borderId="0" xfId="0" applyFont="1" applyBorder="1" applyAlignment="1">
      <alignment horizontal="left"/>
    </xf>
    <xf numFmtId="0" fontId="23" fillId="0" borderId="0" xfId="42">
      <alignment vertical="center"/>
    </xf>
  </cellXfs>
  <cellStyles count="43">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超链接" xfId="42" builtinId="8"/>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hyperlink" Target="mailto:15512188198@163.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3FC56-251A-44C3-AF0E-EEE739CB7D32}">
  <dimension ref="A1:B12"/>
  <sheetViews>
    <sheetView workbookViewId="0">
      <selection activeCell="C18" sqref="C18"/>
    </sheetView>
  </sheetViews>
  <sheetFormatPr defaultRowHeight="13.9"/>
  <sheetData>
    <row r="1" spans="1:2">
      <c r="A1" t="s">
        <v>0</v>
      </c>
    </row>
    <row r="2" spans="1:2">
      <c r="A2" t="s">
        <v>1</v>
      </c>
      <c r="B2" t="s">
        <v>912</v>
      </c>
    </row>
    <row r="3" spans="1:2">
      <c r="A3" t="s">
        <v>3</v>
      </c>
      <c r="B3" t="s">
        <v>913</v>
      </c>
    </row>
    <row r="8" spans="1:2">
      <c r="A8" t="s">
        <v>4</v>
      </c>
    </row>
    <row r="9" spans="1:2">
      <c r="A9" t="s">
        <v>5</v>
      </c>
    </row>
    <row r="10" spans="1:2">
      <c r="A10" t="s">
        <v>6</v>
      </c>
    </row>
    <row r="11" spans="1:2">
      <c r="A11" t="s">
        <v>7</v>
      </c>
    </row>
    <row r="12" spans="1:2">
      <c r="A12" t="s">
        <v>8</v>
      </c>
    </row>
  </sheetData>
  <phoneticPr fontId="18"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C0645-EFAA-4AA7-804F-27C53581EF3A}">
  <dimension ref="A1:B12"/>
  <sheetViews>
    <sheetView workbookViewId="0"/>
  </sheetViews>
  <sheetFormatPr defaultRowHeight="13.9"/>
  <sheetData>
    <row r="1" spans="1:2">
      <c r="A1" t="s">
        <v>0</v>
      </c>
    </row>
    <row r="2" spans="1:2">
      <c r="A2" t="s">
        <v>9</v>
      </c>
      <c r="B2" t="s">
        <v>2</v>
      </c>
    </row>
    <row r="3" spans="1:2">
      <c r="A3" t="s">
        <v>10</v>
      </c>
    </row>
    <row r="8" spans="1:2">
      <c r="A8" t="s">
        <v>11</v>
      </c>
    </row>
    <row r="9" spans="1:2">
      <c r="A9" t="s">
        <v>12</v>
      </c>
    </row>
    <row r="10" spans="1:2">
      <c r="A10" t="s">
        <v>13</v>
      </c>
    </row>
    <row r="11" spans="1:2">
      <c r="A11" t="s">
        <v>14</v>
      </c>
    </row>
    <row r="12" spans="1:2">
      <c r="A12" t="s">
        <v>15</v>
      </c>
    </row>
  </sheetData>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63169-EAAA-4FCB-ABA9-DC9C930B4338}">
  <dimension ref="A1:D27"/>
  <sheetViews>
    <sheetView tabSelected="1" workbookViewId="0"/>
  </sheetViews>
  <sheetFormatPr defaultRowHeight="13.9"/>
  <sheetData>
    <row r="1" spans="1:4">
      <c r="A1" t="s">
        <v>16</v>
      </c>
    </row>
    <row r="3" spans="1:4">
      <c r="A3" t="s">
        <v>17</v>
      </c>
      <c r="B3" t="s">
        <v>18</v>
      </c>
      <c r="C3" t="s">
        <v>19</v>
      </c>
      <c r="D3" t="s">
        <v>20</v>
      </c>
    </row>
    <row r="4" spans="1:4">
      <c r="A4">
        <v>1</v>
      </c>
      <c r="B4" t="s">
        <v>21</v>
      </c>
      <c r="C4" t="s">
        <v>22</v>
      </c>
      <c r="D4" t="s">
        <v>23</v>
      </c>
    </row>
    <row r="5" spans="1:4">
      <c r="A5">
        <v>2</v>
      </c>
      <c r="B5" t="s">
        <v>24</v>
      </c>
      <c r="C5" t="s">
        <v>25</v>
      </c>
      <c r="D5" t="s">
        <v>26</v>
      </c>
    </row>
    <row r="6" spans="1:4">
      <c r="A6">
        <v>3</v>
      </c>
      <c r="B6" t="s">
        <v>27</v>
      </c>
      <c r="C6" t="s">
        <v>28</v>
      </c>
      <c r="D6" t="s">
        <v>29</v>
      </c>
    </row>
    <row r="7" spans="1:4">
      <c r="A7">
        <v>4</v>
      </c>
      <c r="B7" t="s">
        <v>30</v>
      </c>
      <c r="C7" t="s">
        <v>31</v>
      </c>
      <c r="D7" t="s">
        <v>32</v>
      </c>
    </row>
    <row r="8" spans="1:4">
      <c r="A8">
        <v>5</v>
      </c>
      <c r="B8" t="s">
        <v>33</v>
      </c>
      <c r="C8" t="s">
        <v>34</v>
      </c>
      <c r="D8" t="s">
        <v>35</v>
      </c>
    </row>
    <row r="12" spans="1:4">
      <c r="A12" t="s">
        <v>36</v>
      </c>
      <c r="B12" t="s">
        <v>37</v>
      </c>
    </row>
    <row r="13" spans="1:4">
      <c r="A13" t="s">
        <v>38</v>
      </c>
      <c r="B13" t="s">
        <v>39</v>
      </c>
    </row>
    <row r="14" spans="1:4">
      <c r="A14" t="s">
        <v>40</v>
      </c>
      <c r="B14" t="s">
        <v>41</v>
      </c>
    </row>
    <row r="15" spans="1:4">
      <c r="A15" t="s">
        <v>42</v>
      </c>
      <c r="B15" t="s">
        <v>43</v>
      </c>
    </row>
    <row r="16" spans="1:4">
      <c r="A16" t="s">
        <v>44</v>
      </c>
      <c r="B16" t="s">
        <v>45</v>
      </c>
    </row>
    <row r="17" spans="1:2">
      <c r="A17" t="s">
        <v>46</v>
      </c>
      <c r="B17" t="s">
        <v>47</v>
      </c>
    </row>
    <row r="18" spans="1:2">
      <c r="A18" t="s">
        <v>48</v>
      </c>
      <c r="B18" t="s">
        <v>49</v>
      </c>
    </row>
    <row r="19" spans="1:2">
      <c r="A19" t="s">
        <v>50</v>
      </c>
      <c r="B19" t="s">
        <v>51</v>
      </c>
    </row>
    <row r="20" spans="1:2">
      <c r="A20" t="s">
        <v>52</v>
      </c>
      <c r="B20" t="s">
        <v>53</v>
      </c>
    </row>
    <row r="21" spans="1:2">
      <c r="A21" t="s">
        <v>54</v>
      </c>
      <c r="B21" t="s">
        <v>51</v>
      </c>
    </row>
    <row r="22" spans="1:2">
      <c r="A22" t="s">
        <v>55</v>
      </c>
      <c r="B22" t="s">
        <v>56</v>
      </c>
    </row>
    <row r="23" spans="1:2">
      <c r="A23" t="s">
        <v>57</v>
      </c>
      <c r="B23" t="s">
        <v>58</v>
      </c>
    </row>
    <row r="24" spans="1:2">
      <c r="A24" t="s">
        <v>59</v>
      </c>
      <c r="B24" t="s">
        <v>51</v>
      </c>
    </row>
    <row r="25" spans="1:2">
      <c r="A25" t="s">
        <v>60</v>
      </c>
      <c r="B25" t="s">
        <v>61</v>
      </c>
    </row>
    <row r="26" spans="1:2">
      <c r="A26" t="s">
        <v>62</v>
      </c>
      <c r="B26" t="s">
        <v>63</v>
      </c>
    </row>
    <row r="27" spans="1:2">
      <c r="A27" t="s">
        <v>64</v>
      </c>
      <c r="B27" t="s">
        <v>65</v>
      </c>
    </row>
  </sheetData>
  <phoneticPr fontId="18"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EF14-DFEC-4E05-87EA-9791C79E3253}">
  <dimension ref="A1:D27"/>
  <sheetViews>
    <sheetView workbookViewId="0"/>
  </sheetViews>
  <sheetFormatPr defaultRowHeight="13.9"/>
  <sheetData>
    <row r="1" spans="1:4">
      <c r="A1" t="s">
        <v>66</v>
      </c>
    </row>
    <row r="3" spans="1:4">
      <c r="A3" t="s">
        <v>67</v>
      </c>
      <c r="B3" t="s">
        <v>68</v>
      </c>
      <c r="C3" t="s">
        <v>69</v>
      </c>
      <c r="D3" t="s">
        <v>70</v>
      </c>
    </row>
    <row r="4" spans="1:4">
      <c r="A4">
        <v>1</v>
      </c>
      <c r="B4" t="s">
        <v>71</v>
      </c>
      <c r="C4" t="s">
        <v>72</v>
      </c>
      <c r="D4" t="s">
        <v>73</v>
      </c>
    </row>
    <row r="5" spans="1:4">
      <c r="A5">
        <v>2</v>
      </c>
      <c r="B5" t="s">
        <v>74</v>
      </c>
      <c r="C5" t="s">
        <v>75</v>
      </c>
      <c r="D5" t="s">
        <v>76</v>
      </c>
    </row>
    <row r="6" spans="1:4">
      <c r="A6">
        <v>3</v>
      </c>
      <c r="B6" t="s">
        <v>77</v>
      </c>
      <c r="C6" t="s">
        <v>78</v>
      </c>
      <c r="D6" t="s">
        <v>79</v>
      </c>
    </row>
    <row r="7" spans="1:4">
      <c r="A7">
        <v>4</v>
      </c>
      <c r="B7" t="s">
        <v>80</v>
      </c>
      <c r="C7" t="s">
        <v>81</v>
      </c>
      <c r="D7" t="s">
        <v>82</v>
      </c>
    </row>
    <row r="8" spans="1:4">
      <c r="A8">
        <v>5</v>
      </c>
      <c r="B8" t="s">
        <v>83</v>
      </c>
      <c r="C8" t="s">
        <v>84</v>
      </c>
      <c r="D8" t="s">
        <v>85</v>
      </c>
    </row>
    <row r="12" spans="1:4">
      <c r="A12" t="s">
        <v>86</v>
      </c>
      <c r="B12" t="s">
        <v>87</v>
      </c>
    </row>
    <row r="13" spans="1:4">
      <c r="A13" t="s">
        <v>88</v>
      </c>
      <c r="B13" t="s">
        <v>89</v>
      </c>
    </row>
    <row r="14" spans="1:4">
      <c r="A14" t="s">
        <v>90</v>
      </c>
      <c r="B14" t="s">
        <v>91</v>
      </c>
    </row>
    <row r="15" spans="1:4">
      <c r="A15" t="s">
        <v>92</v>
      </c>
      <c r="B15" t="s">
        <v>93</v>
      </c>
    </row>
    <row r="16" spans="1:4">
      <c r="A16" t="s">
        <v>94</v>
      </c>
      <c r="B16" t="s">
        <v>95</v>
      </c>
    </row>
    <row r="17" spans="1:2">
      <c r="A17" t="s">
        <v>96</v>
      </c>
      <c r="B17" t="s">
        <v>97</v>
      </c>
    </row>
    <row r="18" spans="1:2">
      <c r="A18" t="s">
        <v>48</v>
      </c>
      <c r="B18" t="s">
        <v>98</v>
      </c>
    </row>
    <row r="19" spans="1:2">
      <c r="A19" t="s">
        <v>99</v>
      </c>
      <c r="B19" t="s">
        <v>100</v>
      </c>
    </row>
    <row r="20" spans="1:2">
      <c r="A20" t="s">
        <v>52</v>
      </c>
      <c r="B20" t="s">
        <v>101</v>
      </c>
    </row>
    <row r="21" spans="1:2">
      <c r="A21" t="s">
        <v>102</v>
      </c>
      <c r="B21" t="s">
        <v>103</v>
      </c>
    </row>
    <row r="22" spans="1:2">
      <c r="A22" t="s">
        <v>104</v>
      </c>
      <c r="B22" t="s">
        <v>105</v>
      </c>
    </row>
    <row r="23" spans="1:2">
      <c r="A23" t="s">
        <v>57</v>
      </c>
      <c r="B23" t="s">
        <v>106</v>
      </c>
    </row>
    <row r="24" spans="1:2">
      <c r="A24" t="s">
        <v>107</v>
      </c>
      <c r="B24" t="s">
        <v>108</v>
      </c>
    </row>
    <row r="25" spans="1:2">
      <c r="A25" t="s">
        <v>109</v>
      </c>
      <c r="B25" t="s">
        <v>110</v>
      </c>
    </row>
    <row r="26" spans="1:2">
      <c r="A26" t="s">
        <v>111</v>
      </c>
      <c r="B26" t="s">
        <v>112</v>
      </c>
    </row>
    <row r="27" spans="1:2">
      <c r="A27" t="s">
        <v>113</v>
      </c>
      <c r="B27" t="s">
        <v>114</v>
      </c>
    </row>
  </sheetData>
  <phoneticPr fontId="18"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55D76-8D6D-46BB-BFA3-D06F354048F5}">
  <dimension ref="A1:R103"/>
  <sheetViews>
    <sheetView topLeftCell="A10" zoomScale="70" zoomScaleNormal="70" workbookViewId="0">
      <selection activeCell="E17" sqref="E17"/>
    </sheetView>
  </sheetViews>
  <sheetFormatPr defaultRowHeight="13.9"/>
  <cols>
    <col min="5" max="5" width="59.265625" customWidth="1"/>
    <col min="6" max="6" width="16.33203125" customWidth="1"/>
  </cols>
  <sheetData>
    <row r="1" spans="1:18">
      <c r="B1" t="s">
        <v>115</v>
      </c>
    </row>
    <row r="2" spans="1:18">
      <c r="B2" t="s">
        <v>1</v>
      </c>
      <c r="C2" t="s">
        <v>912</v>
      </c>
      <c r="D2" t="s">
        <v>3</v>
      </c>
      <c r="E2" t="s">
        <v>913</v>
      </c>
      <c r="G2" t="s">
        <v>116</v>
      </c>
      <c r="H2" s="4" t="s">
        <v>914</v>
      </c>
    </row>
    <row r="3" spans="1:18">
      <c r="A3" t="s">
        <v>118</v>
      </c>
      <c r="B3" t="s">
        <v>36</v>
      </c>
      <c r="C3" t="s">
        <v>38</v>
      </c>
      <c r="D3" t="s">
        <v>40</v>
      </c>
      <c r="E3" t="s">
        <v>42</v>
      </c>
      <c r="F3" t="s">
        <v>119</v>
      </c>
      <c r="H3" t="s">
        <v>48</v>
      </c>
      <c r="I3" t="s">
        <v>50</v>
      </c>
      <c r="J3" t="s">
        <v>52</v>
      </c>
      <c r="K3" t="s">
        <v>54</v>
      </c>
      <c r="L3" t="s">
        <v>55</v>
      </c>
      <c r="M3" t="s">
        <v>57</v>
      </c>
      <c r="N3" t="s">
        <v>58</v>
      </c>
      <c r="O3" t="s">
        <v>60</v>
      </c>
      <c r="P3" t="s">
        <v>62</v>
      </c>
      <c r="Q3" t="s">
        <v>64</v>
      </c>
      <c r="R3" t="s">
        <v>120</v>
      </c>
    </row>
    <row r="4" spans="1:18">
      <c r="F4" t="s">
        <v>121</v>
      </c>
      <c r="G4" t="s">
        <v>122</v>
      </c>
    </row>
    <row r="5" spans="1:18">
      <c r="A5">
        <v>1</v>
      </c>
      <c r="B5" t="s">
        <v>123</v>
      </c>
      <c r="C5" t="s">
        <v>124</v>
      </c>
      <c r="D5" t="s">
        <v>125</v>
      </c>
      <c r="E5" t="s">
        <v>126</v>
      </c>
      <c r="F5" t="s">
        <v>127</v>
      </c>
      <c r="G5" t="s">
        <v>128</v>
      </c>
      <c r="H5">
        <v>5</v>
      </c>
      <c r="I5" t="s">
        <v>129</v>
      </c>
      <c r="J5">
        <v>2</v>
      </c>
      <c r="K5" t="s">
        <v>130</v>
      </c>
      <c r="L5" t="s">
        <v>131</v>
      </c>
      <c r="M5">
        <v>1</v>
      </c>
      <c r="N5" t="s">
        <v>132</v>
      </c>
      <c r="O5">
        <f>H5*J5*M5</f>
        <v>10</v>
      </c>
      <c r="P5" t="s">
        <v>133</v>
      </c>
      <c r="Q5" t="s">
        <v>134</v>
      </c>
    </row>
    <row r="6" spans="1:18">
      <c r="A6">
        <v>2</v>
      </c>
      <c r="B6" t="s">
        <v>123</v>
      </c>
      <c r="C6" t="s">
        <v>124</v>
      </c>
      <c r="D6" t="s">
        <v>135</v>
      </c>
      <c r="F6" t="s">
        <v>127</v>
      </c>
      <c r="G6" t="s">
        <v>469</v>
      </c>
      <c r="H6">
        <v>5</v>
      </c>
      <c r="I6" t="s">
        <v>129</v>
      </c>
      <c r="J6">
        <v>2</v>
      </c>
      <c r="K6" t="s">
        <v>470</v>
      </c>
      <c r="L6" t="s">
        <v>131</v>
      </c>
      <c r="M6">
        <v>1</v>
      </c>
      <c r="N6" t="s">
        <v>471</v>
      </c>
      <c r="O6">
        <f t="shared" ref="O6:O69" si="0">H6*J6*M6</f>
        <v>10</v>
      </c>
      <c r="P6" t="s">
        <v>472</v>
      </c>
      <c r="Q6" t="s">
        <v>473</v>
      </c>
      <c r="R6" s="2"/>
    </row>
    <row r="7" spans="1:18">
      <c r="A7">
        <v>3</v>
      </c>
      <c r="B7" t="s">
        <v>123</v>
      </c>
      <c r="C7" t="s">
        <v>124</v>
      </c>
      <c r="D7" t="s">
        <v>136</v>
      </c>
      <c r="F7" t="s">
        <v>474</v>
      </c>
      <c r="G7" t="s">
        <v>469</v>
      </c>
      <c r="H7">
        <v>4</v>
      </c>
      <c r="I7" t="s">
        <v>129</v>
      </c>
      <c r="J7">
        <v>2</v>
      </c>
      <c r="K7" t="s">
        <v>475</v>
      </c>
      <c r="L7" t="s">
        <v>131</v>
      </c>
      <c r="M7">
        <v>1</v>
      </c>
      <c r="N7" t="s">
        <v>471</v>
      </c>
      <c r="O7">
        <f t="shared" si="0"/>
        <v>8</v>
      </c>
      <c r="P7" t="s">
        <v>472</v>
      </c>
      <c r="Q7" t="s">
        <v>134</v>
      </c>
      <c r="R7" s="2"/>
    </row>
    <row r="8" spans="1:18">
      <c r="A8">
        <v>4</v>
      </c>
      <c r="B8" t="s">
        <v>137</v>
      </c>
      <c r="C8" t="s">
        <v>138</v>
      </c>
      <c r="D8" t="s">
        <v>139</v>
      </c>
      <c r="F8" t="s">
        <v>476</v>
      </c>
      <c r="G8" t="s">
        <v>477</v>
      </c>
      <c r="H8">
        <v>2</v>
      </c>
      <c r="I8" t="s">
        <v>478</v>
      </c>
      <c r="J8">
        <v>2</v>
      </c>
      <c r="K8" t="s">
        <v>479</v>
      </c>
      <c r="L8" t="s">
        <v>480</v>
      </c>
      <c r="M8">
        <v>1</v>
      </c>
      <c r="N8" t="s">
        <v>481</v>
      </c>
      <c r="O8">
        <f t="shared" si="0"/>
        <v>4</v>
      </c>
      <c r="P8" t="s">
        <v>482</v>
      </c>
      <c r="Q8" t="s">
        <v>483</v>
      </c>
      <c r="R8" s="2"/>
    </row>
    <row r="9" spans="1:18">
      <c r="A9">
        <v>5</v>
      </c>
      <c r="B9" t="s">
        <v>140</v>
      </c>
      <c r="C9" t="s">
        <v>141</v>
      </c>
      <c r="D9" t="s">
        <v>142</v>
      </c>
      <c r="F9" t="s">
        <v>484</v>
      </c>
      <c r="G9" t="s">
        <v>485</v>
      </c>
      <c r="H9">
        <v>4</v>
      </c>
      <c r="I9" t="s">
        <v>486</v>
      </c>
      <c r="J9">
        <v>3</v>
      </c>
      <c r="K9" t="s">
        <v>487</v>
      </c>
      <c r="L9" t="s">
        <v>193</v>
      </c>
      <c r="M9">
        <v>1</v>
      </c>
      <c r="N9" t="s">
        <v>488</v>
      </c>
      <c r="O9">
        <f t="shared" si="0"/>
        <v>12</v>
      </c>
      <c r="P9" t="s">
        <v>489</v>
      </c>
      <c r="Q9" t="s">
        <v>490</v>
      </c>
      <c r="R9" s="2"/>
    </row>
    <row r="10" spans="1:18">
      <c r="A10">
        <v>6</v>
      </c>
      <c r="B10" t="s">
        <v>140</v>
      </c>
      <c r="C10" t="s">
        <v>141</v>
      </c>
      <c r="D10" t="s">
        <v>143</v>
      </c>
      <c r="F10" t="s">
        <v>484</v>
      </c>
      <c r="G10" t="s">
        <v>491</v>
      </c>
      <c r="H10">
        <v>2</v>
      </c>
      <c r="I10" t="s">
        <v>486</v>
      </c>
      <c r="J10">
        <v>3</v>
      </c>
      <c r="K10" t="s">
        <v>492</v>
      </c>
      <c r="L10" t="s">
        <v>193</v>
      </c>
      <c r="M10">
        <v>1</v>
      </c>
      <c r="N10" t="s">
        <v>488</v>
      </c>
      <c r="O10">
        <f t="shared" si="0"/>
        <v>6</v>
      </c>
      <c r="P10" t="s">
        <v>493</v>
      </c>
      <c r="Q10" t="s">
        <v>494</v>
      </c>
      <c r="R10" s="2"/>
    </row>
    <row r="11" spans="1:18">
      <c r="A11">
        <v>7</v>
      </c>
      <c r="B11" t="s">
        <v>140</v>
      </c>
      <c r="C11" t="s">
        <v>141</v>
      </c>
      <c r="D11" t="s">
        <v>144</v>
      </c>
      <c r="F11" t="s">
        <v>495</v>
      </c>
      <c r="G11" t="s">
        <v>496</v>
      </c>
      <c r="H11">
        <v>5</v>
      </c>
      <c r="I11" t="s">
        <v>497</v>
      </c>
      <c r="J11">
        <v>2</v>
      </c>
      <c r="K11" t="s">
        <v>498</v>
      </c>
      <c r="L11" t="s">
        <v>193</v>
      </c>
      <c r="M11">
        <v>1</v>
      </c>
      <c r="N11" t="s">
        <v>499</v>
      </c>
      <c r="O11">
        <f t="shared" si="0"/>
        <v>10</v>
      </c>
      <c r="P11" t="s">
        <v>500</v>
      </c>
      <c r="Q11" t="s">
        <v>501</v>
      </c>
      <c r="R11" s="2"/>
    </row>
    <row r="12" spans="1:18">
      <c r="A12">
        <v>8</v>
      </c>
      <c r="B12" t="s">
        <v>140</v>
      </c>
      <c r="C12" t="s">
        <v>141</v>
      </c>
      <c r="D12" t="s">
        <v>145</v>
      </c>
      <c r="F12" t="s">
        <v>502</v>
      </c>
      <c r="G12" t="s">
        <v>503</v>
      </c>
      <c r="H12">
        <v>1</v>
      </c>
      <c r="I12" t="s">
        <v>504</v>
      </c>
      <c r="J12">
        <v>2</v>
      </c>
      <c r="K12" t="s">
        <v>505</v>
      </c>
      <c r="L12" t="s">
        <v>193</v>
      </c>
      <c r="M12">
        <v>1</v>
      </c>
      <c r="N12" t="s">
        <v>499</v>
      </c>
      <c r="O12">
        <f t="shared" si="0"/>
        <v>2</v>
      </c>
      <c r="P12" t="s">
        <v>506</v>
      </c>
      <c r="Q12" t="s">
        <v>507</v>
      </c>
      <c r="R12" s="2"/>
    </row>
    <row r="13" spans="1:18">
      <c r="A13">
        <v>9</v>
      </c>
      <c r="B13" t="s">
        <v>140</v>
      </c>
      <c r="C13" t="s">
        <v>141</v>
      </c>
      <c r="D13" t="s">
        <v>146</v>
      </c>
      <c r="F13" t="s">
        <v>508</v>
      </c>
      <c r="G13" t="s">
        <v>509</v>
      </c>
      <c r="H13">
        <v>5</v>
      </c>
      <c r="I13" t="s">
        <v>510</v>
      </c>
      <c r="J13">
        <v>2</v>
      </c>
      <c r="K13" t="s">
        <v>511</v>
      </c>
      <c r="L13" t="s">
        <v>193</v>
      </c>
      <c r="M13">
        <v>1</v>
      </c>
      <c r="N13" t="s">
        <v>512</v>
      </c>
      <c r="O13">
        <f t="shared" si="0"/>
        <v>10</v>
      </c>
      <c r="P13" t="s">
        <v>513</v>
      </c>
      <c r="Q13" t="s">
        <v>514</v>
      </c>
      <c r="R13" s="2"/>
    </row>
    <row r="14" spans="1:18">
      <c r="A14">
        <v>10</v>
      </c>
      <c r="B14" t="s">
        <v>140</v>
      </c>
      <c r="C14" t="s">
        <v>141</v>
      </c>
      <c r="D14" t="s">
        <v>147</v>
      </c>
      <c r="F14" t="s">
        <v>508</v>
      </c>
      <c r="G14" t="s">
        <v>515</v>
      </c>
      <c r="H14">
        <v>1</v>
      </c>
      <c r="I14" t="s">
        <v>516</v>
      </c>
      <c r="J14">
        <v>2</v>
      </c>
      <c r="K14" t="s">
        <v>517</v>
      </c>
      <c r="L14" t="s">
        <v>193</v>
      </c>
      <c r="M14">
        <v>1</v>
      </c>
      <c r="N14" t="s">
        <v>518</v>
      </c>
      <c r="O14">
        <f t="shared" si="0"/>
        <v>2</v>
      </c>
      <c r="P14" t="s">
        <v>493</v>
      </c>
      <c r="Q14" t="s">
        <v>494</v>
      </c>
      <c r="R14" s="2"/>
    </row>
    <row r="15" spans="1:18">
      <c r="A15">
        <v>11</v>
      </c>
      <c r="B15" t="s">
        <v>140</v>
      </c>
      <c r="C15" t="s">
        <v>141</v>
      </c>
      <c r="D15" t="s">
        <v>148</v>
      </c>
      <c r="F15" t="s">
        <v>519</v>
      </c>
      <c r="G15" t="s">
        <v>520</v>
      </c>
      <c r="H15">
        <v>1</v>
      </c>
      <c r="I15" t="s">
        <v>521</v>
      </c>
      <c r="J15">
        <v>2</v>
      </c>
      <c r="K15" t="s">
        <v>522</v>
      </c>
      <c r="L15" t="s">
        <v>193</v>
      </c>
      <c r="M15">
        <v>1</v>
      </c>
      <c r="N15" t="s">
        <v>518</v>
      </c>
      <c r="O15">
        <f t="shared" si="0"/>
        <v>2</v>
      </c>
      <c r="P15" t="s">
        <v>523</v>
      </c>
      <c r="Q15" t="s">
        <v>524</v>
      </c>
      <c r="R15" s="2"/>
    </row>
    <row r="16" spans="1:18">
      <c r="A16">
        <v>12</v>
      </c>
      <c r="B16" t="s">
        <v>140</v>
      </c>
      <c r="C16" t="s">
        <v>141</v>
      </c>
      <c r="D16" t="s">
        <v>149</v>
      </c>
      <c r="F16" t="s">
        <v>525</v>
      </c>
      <c r="G16" t="s">
        <v>526</v>
      </c>
      <c r="H16">
        <v>5</v>
      </c>
      <c r="I16" t="s">
        <v>527</v>
      </c>
      <c r="J16">
        <v>2</v>
      </c>
      <c r="K16" t="s">
        <v>528</v>
      </c>
      <c r="L16" t="s">
        <v>193</v>
      </c>
      <c r="M16">
        <v>1</v>
      </c>
      <c r="N16" t="s">
        <v>518</v>
      </c>
      <c r="O16">
        <f t="shared" si="0"/>
        <v>10</v>
      </c>
      <c r="P16" t="s">
        <v>529</v>
      </c>
      <c r="Q16" t="s">
        <v>530</v>
      </c>
      <c r="R16" s="2"/>
    </row>
    <row r="17" spans="1:18">
      <c r="A17">
        <v>13</v>
      </c>
      <c r="B17" t="s">
        <v>150</v>
      </c>
      <c r="C17" t="s">
        <v>151</v>
      </c>
      <c r="D17" t="s">
        <v>152</v>
      </c>
      <c r="F17" t="s">
        <v>531</v>
      </c>
      <c r="G17" t="s">
        <v>532</v>
      </c>
      <c r="H17">
        <v>1</v>
      </c>
      <c r="I17" t="s">
        <v>533</v>
      </c>
      <c r="J17">
        <v>2</v>
      </c>
      <c r="K17" t="s">
        <v>534</v>
      </c>
      <c r="L17" t="s">
        <v>535</v>
      </c>
      <c r="M17">
        <v>1</v>
      </c>
      <c r="N17" t="s">
        <v>536</v>
      </c>
      <c r="O17">
        <f t="shared" si="0"/>
        <v>2</v>
      </c>
      <c r="P17" t="s">
        <v>537</v>
      </c>
      <c r="Q17" t="s">
        <v>538</v>
      </c>
      <c r="R17" s="2"/>
    </row>
    <row r="18" spans="1:18">
      <c r="A18">
        <v>14</v>
      </c>
      <c r="B18" t="s">
        <v>150</v>
      </c>
      <c r="C18" t="s">
        <v>151</v>
      </c>
      <c r="D18" t="s">
        <v>153</v>
      </c>
      <c r="F18" t="s">
        <v>539</v>
      </c>
      <c r="G18" t="s">
        <v>540</v>
      </c>
      <c r="H18">
        <v>1</v>
      </c>
      <c r="I18" t="s">
        <v>541</v>
      </c>
      <c r="J18">
        <v>2</v>
      </c>
      <c r="K18" t="s">
        <v>542</v>
      </c>
      <c r="L18" t="s">
        <v>535</v>
      </c>
      <c r="M18">
        <v>1</v>
      </c>
      <c r="N18" t="s">
        <v>543</v>
      </c>
      <c r="O18">
        <f t="shared" si="0"/>
        <v>2</v>
      </c>
      <c r="P18" t="s">
        <v>544</v>
      </c>
      <c r="Q18" t="s">
        <v>545</v>
      </c>
      <c r="R18" s="2"/>
    </row>
    <row r="19" spans="1:18">
      <c r="A19">
        <v>15</v>
      </c>
      <c r="B19" t="s">
        <v>150</v>
      </c>
      <c r="C19" t="s">
        <v>151</v>
      </c>
      <c r="D19" t="s">
        <v>154</v>
      </c>
      <c r="F19" t="s">
        <v>539</v>
      </c>
      <c r="G19" t="s">
        <v>540</v>
      </c>
      <c r="H19">
        <v>1</v>
      </c>
      <c r="I19" t="s">
        <v>541</v>
      </c>
      <c r="J19">
        <v>2</v>
      </c>
      <c r="K19" t="s">
        <v>546</v>
      </c>
      <c r="L19" t="s">
        <v>535</v>
      </c>
      <c r="M19">
        <v>1</v>
      </c>
      <c r="N19" t="s">
        <v>547</v>
      </c>
      <c r="O19">
        <f t="shared" si="0"/>
        <v>2</v>
      </c>
      <c r="P19" t="s">
        <v>548</v>
      </c>
      <c r="Q19" t="s">
        <v>549</v>
      </c>
      <c r="R19" s="2"/>
    </row>
    <row r="20" spans="1:18">
      <c r="A20">
        <v>16</v>
      </c>
      <c r="B20" t="s">
        <v>150</v>
      </c>
      <c r="C20" t="s">
        <v>151</v>
      </c>
      <c r="D20" t="s">
        <v>155</v>
      </c>
      <c r="F20" t="s">
        <v>550</v>
      </c>
      <c r="G20" t="s">
        <v>540</v>
      </c>
      <c r="H20">
        <v>1</v>
      </c>
      <c r="I20" t="s">
        <v>551</v>
      </c>
      <c r="J20">
        <v>2</v>
      </c>
      <c r="K20" t="s">
        <v>552</v>
      </c>
      <c r="L20" t="s">
        <v>535</v>
      </c>
      <c r="M20">
        <v>3</v>
      </c>
      <c r="N20" t="s">
        <v>553</v>
      </c>
      <c r="O20">
        <f t="shared" si="0"/>
        <v>6</v>
      </c>
      <c r="P20" t="s">
        <v>537</v>
      </c>
      <c r="Q20" t="s">
        <v>554</v>
      </c>
      <c r="R20" s="2"/>
    </row>
    <row r="21" spans="1:18">
      <c r="A21">
        <v>17</v>
      </c>
      <c r="B21" t="s">
        <v>150</v>
      </c>
      <c r="C21" t="s">
        <v>151</v>
      </c>
      <c r="D21" t="s">
        <v>156</v>
      </c>
      <c r="F21" t="s">
        <v>555</v>
      </c>
      <c r="G21" t="s">
        <v>556</v>
      </c>
      <c r="H21">
        <v>3</v>
      </c>
      <c r="I21" t="s">
        <v>557</v>
      </c>
      <c r="J21">
        <v>2</v>
      </c>
      <c r="K21" t="s">
        <v>558</v>
      </c>
      <c r="L21" t="s">
        <v>559</v>
      </c>
      <c r="M21">
        <v>1</v>
      </c>
      <c r="N21" t="s">
        <v>560</v>
      </c>
      <c r="O21">
        <f t="shared" si="0"/>
        <v>6</v>
      </c>
      <c r="P21" t="s">
        <v>493</v>
      </c>
      <c r="Q21" t="s">
        <v>561</v>
      </c>
      <c r="R21" s="2"/>
    </row>
    <row r="22" spans="1:18">
      <c r="A22">
        <v>18</v>
      </c>
      <c r="B22" t="s">
        <v>150</v>
      </c>
      <c r="C22" t="s">
        <v>151</v>
      </c>
      <c r="D22" t="s">
        <v>157</v>
      </c>
      <c r="F22" t="s">
        <v>562</v>
      </c>
      <c r="G22" t="s">
        <v>540</v>
      </c>
      <c r="H22">
        <v>1</v>
      </c>
      <c r="I22" t="s">
        <v>541</v>
      </c>
      <c r="J22">
        <v>2</v>
      </c>
      <c r="K22" t="s">
        <v>563</v>
      </c>
      <c r="L22" t="s">
        <v>535</v>
      </c>
      <c r="M22">
        <v>1</v>
      </c>
      <c r="N22" t="s">
        <v>543</v>
      </c>
      <c r="O22">
        <f t="shared" si="0"/>
        <v>2</v>
      </c>
      <c r="P22" t="s">
        <v>537</v>
      </c>
      <c r="Q22" t="s">
        <v>538</v>
      </c>
      <c r="R22" s="2"/>
    </row>
    <row r="23" spans="1:18">
      <c r="A23">
        <v>19</v>
      </c>
      <c r="B23" t="s">
        <v>150</v>
      </c>
      <c r="C23" t="s">
        <v>151</v>
      </c>
      <c r="D23" t="s">
        <v>158</v>
      </c>
      <c r="F23" t="s">
        <v>564</v>
      </c>
      <c r="G23" t="s">
        <v>540</v>
      </c>
      <c r="H23">
        <v>1</v>
      </c>
      <c r="I23" t="s">
        <v>541</v>
      </c>
      <c r="J23">
        <v>2</v>
      </c>
      <c r="K23" t="s">
        <v>565</v>
      </c>
      <c r="L23" t="s">
        <v>535</v>
      </c>
      <c r="M23">
        <v>1</v>
      </c>
      <c r="N23" t="s">
        <v>566</v>
      </c>
      <c r="O23">
        <f t="shared" si="0"/>
        <v>2</v>
      </c>
      <c r="P23" t="s">
        <v>567</v>
      </c>
      <c r="Q23" t="s">
        <v>554</v>
      </c>
      <c r="R23" s="2"/>
    </row>
    <row r="24" spans="1:18">
      <c r="A24">
        <v>20</v>
      </c>
      <c r="B24" t="s">
        <v>159</v>
      </c>
      <c r="C24" t="s">
        <v>160</v>
      </c>
      <c r="D24" t="s">
        <v>161</v>
      </c>
      <c r="F24" t="s">
        <v>568</v>
      </c>
      <c r="G24" t="s">
        <v>569</v>
      </c>
      <c r="H24">
        <v>3</v>
      </c>
      <c r="I24" t="s">
        <v>570</v>
      </c>
      <c r="J24">
        <v>2</v>
      </c>
      <c r="K24" t="s">
        <v>571</v>
      </c>
      <c r="L24" t="s">
        <v>572</v>
      </c>
      <c r="M24">
        <v>3</v>
      </c>
      <c r="N24" t="s">
        <v>573</v>
      </c>
      <c r="O24">
        <f t="shared" si="0"/>
        <v>18</v>
      </c>
      <c r="P24" t="s">
        <v>574</v>
      </c>
      <c r="Q24" t="s">
        <v>575</v>
      </c>
      <c r="R24" s="2"/>
    </row>
    <row r="25" spans="1:18">
      <c r="A25">
        <v>21</v>
      </c>
      <c r="B25" t="s">
        <v>159</v>
      </c>
      <c r="C25" t="s">
        <v>160</v>
      </c>
      <c r="D25" t="s">
        <v>162</v>
      </c>
      <c r="F25" t="s">
        <v>568</v>
      </c>
      <c r="G25" t="s">
        <v>569</v>
      </c>
      <c r="H25">
        <v>3</v>
      </c>
      <c r="I25" t="s">
        <v>570</v>
      </c>
      <c r="J25">
        <v>2</v>
      </c>
      <c r="K25" t="s">
        <v>571</v>
      </c>
      <c r="L25" t="s">
        <v>572</v>
      </c>
      <c r="M25">
        <v>3</v>
      </c>
      <c r="N25" t="s">
        <v>573</v>
      </c>
      <c r="O25">
        <f t="shared" si="0"/>
        <v>18</v>
      </c>
      <c r="P25" t="s">
        <v>574</v>
      </c>
      <c r="Q25" t="s">
        <v>575</v>
      </c>
      <c r="R25" s="2"/>
    </row>
    <row r="26" spans="1:18">
      <c r="A26">
        <v>22</v>
      </c>
      <c r="B26" t="s">
        <v>159</v>
      </c>
      <c r="C26" t="s">
        <v>160</v>
      </c>
      <c r="D26" t="s">
        <v>163</v>
      </c>
      <c r="F26" t="s">
        <v>576</v>
      </c>
      <c r="G26" t="s">
        <v>577</v>
      </c>
      <c r="H26">
        <v>1</v>
      </c>
      <c r="I26" t="s">
        <v>578</v>
      </c>
      <c r="J26">
        <v>2</v>
      </c>
      <c r="K26" t="s">
        <v>565</v>
      </c>
      <c r="L26" t="s">
        <v>193</v>
      </c>
      <c r="M26">
        <v>1</v>
      </c>
      <c r="N26" t="s">
        <v>579</v>
      </c>
      <c r="O26">
        <f t="shared" si="0"/>
        <v>2</v>
      </c>
      <c r="P26" t="s">
        <v>574</v>
      </c>
      <c r="Q26" t="s">
        <v>580</v>
      </c>
      <c r="R26" s="2"/>
    </row>
    <row r="27" spans="1:18">
      <c r="A27">
        <v>23</v>
      </c>
      <c r="B27" t="s">
        <v>159</v>
      </c>
      <c r="C27" t="s">
        <v>160</v>
      </c>
      <c r="D27" t="s">
        <v>164</v>
      </c>
      <c r="F27" t="s">
        <v>576</v>
      </c>
      <c r="G27" t="s">
        <v>577</v>
      </c>
      <c r="H27">
        <v>1</v>
      </c>
      <c r="I27" t="s">
        <v>578</v>
      </c>
      <c r="J27">
        <v>2</v>
      </c>
      <c r="K27" t="s">
        <v>565</v>
      </c>
      <c r="L27" t="s">
        <v>193</v>
      </c>
      <c r="M27">
        <v>1</v>
      </c>
      <c r="N27" t="s">
        <v>579</v>
      </c>
      <c r="O27">
        <f t="shared" si="0"/>
        <v>2</v>
      </c>
      <c r="P27" t="s">
        <v>574</v>
      </c>
      <c r="Q27" t="s">
        <v>575</v>
      </c>
      <c r="R27" s="2"/>
    </row>
    <row r="28" spans="1:18">
      <c r="A28">
        <v>24</v>
      </c>
      <c r="B28" t="s">
        <v>165</v>
      </c>
      <c r="C28" t="s">
        <v>166</v>
      </c>
      <c r="D28" t="s">
        <v>167</v>
      </c>
      <c r="F28" t="s">
        <v>581</v>
      </c>
      <c r="G28" t="s">
        <v>582</v>
      </c>
      <c r="H28">
        <v>1</v>
      </c>
      <c r="I28" t="s">
        <v>583</v>
      </c>
      <c r="J28">
        <v>2</v>
      </c>
      <c r="K28" t="s">
        <v>584</v>
      </c>
      <c r="L28" t="s">
        <v>572</v>
      </c>
      <c r="M28">
        <v>1</v>
      </c>
      <c r="N28" t="s">
        <v>585</v>
      </c>
      <c r="O28">
        <f t="shared" si="0"/>
        <v>2</v>
      </c>
      <c r="P28" t="s">
        <v>586</v>
      </c>
      <c r="Q28" t="s">
        <v>575</v>
      </c>
      <c r="R28" s="2"/>
    </row>
    <row r="29" spans="1:18">
      <c r="A29">
        <v>25</v>
      </c>
      <c r="B29" t="s">
        <v>165</v>
      </c>
      <c r="C29" t="s">
        <v>166</v>
      </c>
      <c r="D29" t="s">
        <v>168</v>
      </c>
      <c r="F29" t="s">
        <v>587</v>
      </c>
      <c r="G29" t="s">
        <v>588</v>
      </c>
      <c r="H29">
        <v>1</v>
      </c>
      <c r="I29" t="s">
        <v>589</v>
      </c>
      <c r="J29">
        <v>2</v>
      </c>
      <c r="K29" t="s">
        <v>590</v>
      </c>
      <c r="L29" t="s">
        <v>572</v>
      </c>
      <c r="M29">
        <v>1</v>
      </c>
      <c r="N29" t="s">
        <v>591</v>
      </c>
      <c r="O29">
        <f t="shared" si="0"/>
        <v>2</v>
      </c>
      <c r="P29" t="s">
        <v>586</v>
      </c>
      <c r="Q29" t="s">
        <v>592</v>
      </c>
      <c r="R29" s="2"/>
    </row>
    <row r="30" spans="1:18">
      <c r="A30">
        <v>26</v>
      </c>
      <c r="B30" t="s">
        <v>169</v>
      </c>
      <c r="C30" t="s">
        <v>166</v>
      </c>
      <c r="D30" t="s">
        <v>170</v>
      </c>
      <c r="F30" t="s">
        <v>593</v>
      </c>
      <c r="G30" t="s">
        <v>588</v>
      </c>
      <c r="H30">
        <v>1</v>
      </c>
      <c r="I30" t="s">
        <v>589</v>
      </c>
      <c r="J30">
        <v>2</v>
      </c>
      <c r="K30" t="s">
        <v>594</v>
      </c>
      <c r="L30" t="s">
        <v>535</v>
      </c>
      <c r="M30">
        <v>1</v>
      </c>
      <c r="N30" t="s">
        <v>595</v>
      </c>
      <c r="O30">
        <f t="shared" si="0"/>
        <v>2</v>
      </c>
      <c r="P30" t="s">
        <v>596</v>
      </c>
      <c r="Q30" t="s">
        <v>597</v>
      </c>
      <c r="R30" s="2"/>
    </row>
    <row r="31" spans="1:18">
      <c r="A31">
        <v>27</v>
      </c>
      <c r="B31" t="s">
        <v>171</v>
      </c>
      <c r="C31" t="s">
        <v>172</v>
      </c>
      <c r="D31" t="s">
        <v>173</v>
      </c>
      <c r="F31" t="s">
        <v>598</v>
      </c>
      <c r="G31" t="s">
        <v>599</v>
      </c>
      <c r="H31">
        <v>2</v>
      </c>
      <c r="I31" t="s">
        <v>600</v>
      </c>
      <c r="J31">
        <v>2</v>
      </c>
      <c r="K31" t="s">
        <v>584</v>
      </c>
      <c r="L31" t="s">
        <v>193</v>
      </c>
      <c r="M31">
        <v>1</v>
      </c>
      <c r="N31" t="s">
        <v>601</v>
      </c>
      <c r="O31">
        <f t="shared" si="0"/>
        <v>4</v>
      </c>
      <c r="P31" t="s">
        <v>602</v>
      </c>
      <c r="Q31" t="s">
        <v>603</v>
      </c>
      <c r="R31" s="2"/>
    </row>
    <row r="32" spans="1:18">
      <c r="A32">
        <v>28</v>
      </c>
      <c r="B32" t="s">
        <v>171</v>
      </c>
      <c r="C32" t="s">
        <v>172</v>
      </c>
      <c r="D32" t="s">
        <v>174</v>
      </c>
      <c r="F32" t="s">
        <v>598</v>
      </c>
      <c r="G32" t="s">
        <v>599</v>
      </c>
      <c r="H32">
        <v>2</v>
      </c>
      <c r="I32" t="s">
        <v>600</v>
      </c>
      <c r="J32">
        <v>2</v>
      </c>
      <c r="K32" t="s">
        <v>584</v>
      </c>
      <c r="L32" t="s">
        <v>193</v>
      </c>
      <c r="N32" t="s">
        <v>601</v>
      </c>
      <c r="O32">
        <f t="shared" si="0"/>
        <v>0</v>
      </c>
      <c r="P32" t="s">
        <v>602</v>
      </c>
      <c r="Q32" t="s">
        <v>603</v>
      </c>
      <c r="R32" s="2"/>
    </row>
    <row r="33" spans="1:18">
      <c r="A33">
        <v>29</v>
      </c>
      <c r="B33" t="s">
        <v>175</v>
      </c>
      <c r="C33" t="s">
        <v>172</v>
      </c>
      <c r="D33" t="s">
        <v>176</v>
      </c>
      <c r="F33" t="s">
        <v>604</v>
      </c>
      <c r="G33" t="s">
        <v>605</v>
      </c>
      <c r="H33">
        <v>1</v>
      </c>
      <c r="I33" t="s">
        <v>606</v>
      </c>
      <c r="J33">
        <v>2</v>
      </c>
      <c r="K33" t="s">
        <v>607</v>
      </c>
      <c r="L33" t="s">
        <v>608</v>
      </c>
      <c r="M33">
        <v>1</v>
      </c>
      <c r="N33" t="s">
        <v>609</v>
      </c>
      <c r="O33">
        <f t="shared" si="0"/>
        <v>2</v>
      </c>
      <c r="P33" t="s">
        <v>610</v>
      </c>
      <c r="Q33" t="s">
        <v>611</v>
      </c>
      <c r="R33" s="2"/>
    </row>
    <row r="34" spans="1:18">
      <c r="A34">
        <v>30</v>
      </c>
      <c r="B34" t="s">
        <v>177</v>
      </c>
      <c r="C34" t="s">
        <v>178</v>
      </c>
      <c r="D34" t="s">
        <v>179</v>
      </c>
      <c r="F34" t="s">
        <v>612</v>
      </c>
      <c r="G34" t="s">
        <v>128</v>
      </c>
      <c r="H34">
        <v>5</v>
      </c>
      <c r="I34" t="s">
        <v>129</v>
      </c>
      <c r="J34">
        <v>2</v>
      </c>
      <c r="K34" t="s">
        <v>613</v>
      </c>
      <c r="L34" t="s">
        <v>131</v>
      </c>
      <c r="M34">
        <v>1</v>
      </c>
      <c r="N34" t="s">
        <v>132</v>
      </c>
      <c r="O34">
        <f t="shared" si="0"/>
        <v>10</v>
      </c>
      <c r="P34" t="s">
        <v>133</v>
      </c>
      <c r="Q34" t="s">
        <v>134</v>
      </c>
      <c r="R34" s="2"/>
    </row>
    <row r="35" spans="1:18">
      <c r="A35">
        <v>31</v>
      </c>
      <c r="B35" t="s">
        <v>177</v>
      </c>
      <c r="C35" t="s">
        <v>178</v>
      </c>
      <c r="D35" t="s">
        <v>180</v>
      </c>
      <c r="F35" t="s">
        <v>614</v>
      </c>
      <c r="G35" t="s">
        <v>532</v>
      </c>
      <c r="H35">
        <v>1</v>
      </c>
      <c r="I35" t="s">
        <v>615</v>
      </c>
      <c r="J35">
        <v>2</v>
      </c>
      <c r="K35" t="s">
        <v>590</v>
      </c>
      <c r="L35" t="s">
        <v>616</v>
      </c>
      <c r="M35">
        <v>1</v>
      </c>
      <c r="N35" t="s">
        <v>617</v>
      </c>
      <c r="O35">
        <f t="shared" si="0"/>
        <v>2</v>
      </c>
      <c r="P35" t="s">
        <v>618</v>
      </c>
      <c r="Q35" t="s">
        <v>619</v>
      </c>
      <c r="R35" s="2"/>
    </row>
    <row r="36" spans="1:18">
      <c r="A36">
        <v>32</v>
      </c>
      <c r="B36" t="s">
        <v>177</v>
      </c>
      <c r="C36" t="s">
        <v>178</v>
      </c>
      <c r="D36" t="s">
        <v>181</v>
      </c>
      <c r="F36" t="s">
        <v>620</v>
      </c>
      <c r="G36" t="s">
        <v>621</v>
      </c>
      <c r="H36">
        <v>5</v>
      </c>
      <c r="I36" t="s">
        <v>622</v>
      </c>
      <c r="J36">
        <v>2</v>
      </c>
      <c r="K36" t="s">
        <v>623</v>
      </c>
      <c r="L36" t="s">
        <v>535</v>
      </c>
      <c r="M36">
        <v>2</v>
      </c>
      <c r="N36" t="s">
        <v>624</v>
      </c>
      <c r="O36">
        <f t="shared" si="0"/>
        <v>20</v>
      </c>
      <c r="P36" t="s">
        <v>625</v>
      </c>
      <c r="Q36" t="s">
        <v>626</v>
      </c>
      <c r="R36" s="2"/>
    </row>
    <row r="37" spans="1:18">
      <c r="A37">
        <v>33</v>
      </c>
      <c r="B37" t="s">
        <v>177</v>
      </c>
      <c r="C37" t="s">
        <v>178</v>
      </c>
      <c r="D37" t="s">
        <v>148</v>
      </c>
      <c r="F37" t="s">
        <v>627</v>
      </c>
      <c r="G37" t="s">
        <v>628</v>
      </c>
      <c r="H37">
        <v>3</v>
      </c>
      <c r="I37" t="s">
        <v>629</v>
      </c>
      <c r="J37">
        <v>3</v>
      </c>
      <c r="K37" t="s">
        <v>630</v>
      </c>
      <c r="L37" t="s">
        <v>616</v>
      </c>
      <c r="M37">
        <v>1</v>
      </c>
      <c r="N37" t="s">
        <v>631</v>
      </c>
      <c r="O37">
        <f t="shared" si="0"/>
        <v>9</v>
      </c>
      <c r="P37" t="s">
        <v>632</v>
      </c>
      <c r="Q37" t="s">
        <v>633</v>
      </c>
      <c r="R37" s="2"/>
    </row>
    <row r="38" spans="1:18">
      <c r="A38">
        <v>34</v>
      </c>
      <c r="B38" t="s">
        <v>182</v>
      </c>
      <c r="C38" t="s">
        <v>183</v>
      </c>
      <c r="D38" t="s">
        <v>184</v>
      </c>
      <c r="F38" t="s">
        <v>634</v>
      </c>
      <c r="G38" t="s">
        <v>635</v>
      </c>
      <c r="H38">
        <v>1</v>
      </c>
      <c r="I38" t="s">
        <v>636</v>
      </c>
      <c r="J38">
        <v>2</v>
      </c>
      <c r="K38" t="s">
        <v>637</v>
      </c>
      <c r="L38" t="s">
        <v>616</v>
      </c>
      <c r="M38">
        <v>1</v>
      </c>
      <c r="N38" t="s">
        <v>638</v>
      </c>
      <c r="O38">
        <f t="shared" si="0"/>
        <v>2</v>
      </c>
      <c r="P38" t="s">
        <v>639</v>
      </c>
      <c r="Q38" t="s">
        <v>640</v>
      </c>
      <c r="R38" s="2"/>
    </row>
    <row r="39" spans="1:18">
      <c r="A39">
        <v>35</v>
      </c>
      <c r="B39" t="s">
        <v>185</v>
      </c>
      <c r="C39" t="s">
        <v>186</v>
      </c>
      <c r="D39" t="s">
        <v>187</v>
      </c>
      <c r="F39" t="s">
        <v>641</v>
      </c>
      <c r="G39" t="s">
        <v>642</v>
      </c>
      <c r="H39">
        <v>1</v>
      </c>
      <c r="I39" t="s">
        <v>643</v>
      </c>
      <c r="J39">
        <v>2</v>
      </c>
      <c r="K39" t="s">
        <v>590</v>
      </c>
      <c r="L39" t="s">
        <v>131</v>
      </c>
      <c r="M39">
        <v>1</v>
      </c>
      <c r="N39" t="s">
        <v>644</v>
      </c>
      <c r="O39">
        <f t="shared" si="0"/>
        <v>2</v>
      </c>
      <c r="P39" t="s">
        <v>133</v>
      </c>
      <c r="Q39" t="s">
        <v>645</v>
      </c>
      <c r="R39" s="2"/>
    </row>
    <row r="40" spans="1:18">
      <c r="A40">
        <v>36</v>
      </c>
      <c r="B40" t="s">
        <v>185</v>
      </c>
      <c r="C40" t="s">
        <v>186</v>
      </c>
      <c r="D40" t="s">
        <v>188</v>
      </c>
      <c r="F40" t="s">
        <v>646</v>
      </c>
      <c r="G40" t="s">
        <v>647</v>
      </c>
      <c r="H40">
        <v>1</v>
      </c>
      <c r="I40" t="s">
        <v>648</v>
      </c>
      <c r="J40">
        <v>2</v>
      </c>
      <c r="K40" t="s">
        <v>590</v>
      </c>
      <c r="L40" t="s">
        <v>131</v>
      </c>
      <c r="M40">
        <v>1</v>
      </c>
      <c r="N40" t="s">
        <v>649</v>
      </c>
      <c r="O40">
        <f t="shared" si="0"/>
        <v>2</v>
      </c>
      <c r="P40" t="s">
        <v>650</v>
      </c>
      <c r="Q40" t="s">
        <v>651</v>
      </c>
      <c r="R40" s="2"/>
    </row>
    <row r="41" spans="1:18">
      <c r="A41">
        <v>37</v>
      </c>
      <c r="B41" t="s">
        <v>185</v>
      </c>
      <c r="C41" t="s">
        <v>186</v>
      </c>
      <c r="D41" t="s">
        <v>189</v>
      </c>
      <c r="F41" t="s">
        <v>652</v>
      </c>
      <c r="G41" t="s">
        <v>653</v>
      </c>
      <c r="H41">
        <v>5</v>
      </c>
      <c r="I41" t="s">
        <v>654</v>
      </c>
      <c r="J41">
        <v>2</v>
      </c>
      <c r="K41" t="s">
        <v>655</v>
      </c>
      <c r="L41" t="s">
        <v>131</v>
      </c>
      <c r="M41">
        <v>3</v>
      </c>
      <c r="N41" t="s">
        <v>656</v>
      </c>
      <c r="O41">
        <f t="shared" si="0"/>
        <v>30</v>
      </c>
      <c r="P41" t="s">
        <v>133</v>
      </c>
      <c r="Q41" t="s">
        <v>657</v>
      </c>
      <c r="R41" s="2"/>
    </row>
    <row r="42" spans="1:18">
      <c r="A42">
        <v>38</v>
      </c>
      <c r="B42" t="s">
        <v>185</v>
      </c>
      <c r="C42" t="s">
        <v>186</v>
      </c>
      <c r="D42" t="s">
        <v>190</v>
      </c>
      <c r="F42" t="s">
        <v>658</v>
      </c>
      <c r="G42" t="s">
        <v>647</v>
      </c>
      <c r="H42">
        <v>1</v>
      </c>
      <c r="I42" t="s">
        <v>659</v>
      </c>
      <c r="J42">
        <v>2</v>
      </c>
      <c r="K42" t="s">
        <v>590</v>
      </c>
      <c r="L42" t="s">
        <v>660</v>
      </c>
      <c r="M42">
        <v>1</v>
      </c>
      <c r="N42" t="s">
        <v>661</v>
      </c>
      <c r="O42">
        <f t="shared" si="0"/>
        <v>2</v>
      </c>
      <c r="P42" t="s">
        <v>662</v>
      </c>
      <c r="Q42" t="s">
        <v>663</v>
      </c>
      <c r="R42" s="2"/>
    </row>
    <row r="43" spans="1:18">
      <c r="A43">
        <v>39</v>
      </c>
      <c r="B43" t="s">
        <v>185</v>
      </c>
      <c r="C43" t="s">
        <v>186</v>
      </c>
      <c r="D43" t="s">
        <v>191</v>
      </c>
      <c r="F43" t="s">
        <v>664</v>
      </c>
      <c r="G43" t="s">
        <v>642</v>
      </c>
      <c r="H43">
        <v>5</v>
      </c>
      <c r="I43" t="s">
        <v>665</v>
      </c>
      <c r="J43">
        <v>2</v>
      </c>
      <c r="K43" t="s">
        <v>584</v>
      </c>
      <c r="L43" t="s">
        <v>572</v>
      </c>
      <c r="M43">
        <v>1</v>
      </c>
      <c r="N43" t="s">
        <v>666</v>
      </c>
      <c r="O43">
        <f t="shared" si="0"/>
        <v>10</v>
      </c>
      <c r="P43" t="s">
        <v>667</v>
      </c>
      <c r="Q43" t="s">
        <v>668</v>
      </c>
      <c r="R43" s="2"/>
    </row>
    <row r="44" spans="1:18">
      <c r="A44">
        <v>40</v>
      </c>
      <c r="B44" t="s">
        <v>185</v>
      </c>
      <c r="C44" t="s">
        <v>186</v>
      </c>
      <c r="D44" t="s">
        <v>192</v>
      </c>
      <c r="F44" t="s">
        <v>669</v>
      </c>
      <c r="G44" t="s">
        <v>670</v>
      </c>
      <c r="H44">
        <v>1</v>
      </c>
      <c r="I44" t="s">
        <v>671</v>
      </c>
      <c r="J44">
        <v>2</v>
      </c>
      <c r="K44" t="s">
        <v>672</v>
      </c>
      <c r="L44" t="s">
        <v>660</v>
      </c>
      <c r="M44">
        <v>1</v>
      </c>
      <c r="N44" t="s">
        <v>661</v>
      </c>
      <c r="O44">
        <f t="shared" si="0"/>
        <v>2</v>
      </c>
      <c r="P44" t="s">
        <v>673</v>
      </c>
      <c r="Q44" t="s">
        <v>674</v>
      </c>
      <c r="R44" s="2"/>
    </row>
    <row r="45" spans="1:18">
      <c r="A45">
        <v>41</v>
      </c>
      <c r="B45" t="s">
        <v>193</v>
      </c>
      <c r="C45" t="s">
        <v>194</v>
      </c>
      <c r="D45" t="s">
        <v>195</v>
      </c>
      <c r="F45" t="s">
        <v>675</v>
      </c>
      <c r="G45" t="s">
        <v>676</v>
      </c>
      <c r="H45">
        <v>5</v>
      </c>
      <c r="I45" t="s">
        <v>677</v>
      </c>
      <c r="J45">
        <v>2</v>
      </c>
      <c r="K45" t="s">
        <v>678</v>
      </c>
      <c r="L45" t="s">
        <v>193</v>
      </c>
      <c r="M45">
        <v>2</v>
      </c>
      <c r="N45" t="s">
        <v>679</v>
      </c>
      <c r="O45">
        <f t="shared" si="0"/>
        <v>20</v>
      </c>
      <c r="P45" t="s">
        <v>680</v>
      </c>
      <c r="Q45" t="s">
        <v>681</v>
      </c>
      <c r="R45" s="2"/>
    </row>
    <row r="46" spans="1:18">
      <c r="A46">
        <v>42</v>
      </c>
      <c r="B46" t="s">
        <v>193</v>
      </c>
      <c r="C46" t="s">
        <v>194</v>
      </c>
      <c r="D46" t="s">
        <v>196</v>
      </c>
      <c r="F46" t="s">
        <v>682</v>
      </c>
      <c r="G46" t="s">
        <v>683</v>
      </c>
      <c r="H46">
        <v>5</v>
      </c>
      <c r="I46" t="s">
        <v>684</v>
      </c>
      <c r="J46">
        <v>2</v>
      </c>
      <c r="K46" t="s">
        <v>678</v>
      </c>
      <c r="L46" t="s">
        <v>193</v>
      </c>
      <c r="M46">
        <v>1</v>
      </c>
      <c r="N46" t="s">
        <v>685</v>
      </c>
      <c r="O46">
        <f t="shared" si="0"/>
        <v>10</v>
      </c>
      <c r="P46" t="s">
        <v>680</v>
      </c>
      <c r="Q46" t="s">
        <v>681</v>
      </c>
      <c r="R46" s="2"/>
    </row>
    <row r="47" spans="1:18">
      <c r="A47">
        <v>43</v>
      </c>
      <c r="B47" t="s">
        <v>193</v>
      </c>
      <c r="C47" t="s">
        <v>194</v>
      </c>
      <c r="D47" t="s">
        <v>197</v>
      </c>
      <c r="F47" t="s">
        <v>686</v>
      </c>
      <c r="G47" t="s">
        <v>683</v>
      </c>
      <c r="H47">
        <v>3</v>
      </c>
      <c r="I47" t="s">
        <v>687</v>
      </c>
      <c r="J47">
        <v>2</v>
      </c>
      <c r="K47" t="s">
        <v>688</v>
      </c>
      <c r="L47" t="s">
        <v>193</v>
      </c>
      <c r="M47">
        <v>1</v>
      </c>
      <c r="N47" t="s">
        <v>689</v>
      </c>
      <c r="O47">
        <f t="shared" si="0"/>
        <v>6</v>
      </c>
      <c r="P47" t="s">
        <v>680</v>
      </c>
      <c r="Q47" t="s">
        <v>690</v>
      </c>
      <c r="R47" s="2"/>
    </row>
    <row r="48" spans="1:18">
      <c r="A48">
        <v>44</v>
      </c>
      <c r="B48" t="s">
        <v>193</v>
      </c>
      <c r="C48" t="s">
        <v>194</v>
      </c>
      <c r="D48" t="s">
        <v>198</v>
      </c>
      <c r="F48" t="s">
        <v>691</v>
      </c>
      <c r="G48" t="s">
        <v>692</v>
      </c>
      <c r="H48">
        <v>1</v>
      </c>
      <c r="I48" t="s">
        <v>693</v>
      </c>
      <c r="J48">
        <v>2</v>
      </c>
      <c r="K48" t="s">
        <v>590</v>
      </c>
      <c r="L48" t="s">
        <v>193</v>
      </c>
      <c r="M48">
        <v>1</v>
      </c>
      <c r="N48" t="s">
        <v>689</v>
      </c>
      <c r="O48">
        <f t="shared" si="0"/>
        <v>2</v>
      </c>
      <c r="P48" t="s">
        <v>680</v>
      </c>
      <c r="Q48" t="s">
        <v>694</v>
      </c>
      <c r="R48" s="1"/>
    </row>
    <row r="49" spans="1:18">
      <c r="A49">
        <v>45</v>
      </c>
      <c r="B49" t="s">
        <v>193</v>
      </c>
      <c r="C49" t="s">
        <v>194</v>
      </c>
      <c r="D49" t="s">
        <v>199</v>
      </c>
      <c r="F49" t="s">
        <v>695</v>
      </c>
      <c r="G49" t="s">
        <v>696</v>
      </c>
      <c r="H49">
        <v>1</v>
      </c>
      <c r="I49" t="s">
        <v>697</v>
      </c>
      <c r="J49">
        <v>2</v>
      </c>
      <c r="K49" t="s">
        <v>698</v>
      </c>
      <c r="L49" t="s">
        <v>193</v>
      </c>
      <c r="M49">
        <v>1</v>
      </c>
      <c r="N49" t="s">
        <v>699</v>
      </c>
      <c r="O49">
        <f t="shared" si="0"/>
        <v>2</v>
      </c>
      <c r="P49" t="s">
        <v>680</v>
      </c>
      <c r="Q49" t="s">
        <v>700</v>
      </c>
      <c r="R49" s="2"/>
    </row>
    <row r="50" spans="1:18">
      <c r="A50">
        <v>46</v>
      </c>
      <c r="B50" t="s">
        <v>193</v>
      </c>
      <c r="C50" t="s">
        <v>194</v>
      </c>
      <c r="D50" t="s">
        <v>200</v>
      </c>
      <c r="F50" t="s">
        <v>695</v>
      </c>
      <c r="G50" t="s">
        <v>696</v>
      </c>
      <c r="H50">
        <v>1</v>
      </c>
      <c r="I50" t="s">
        <v>697</v>
      </c>
      <c r="J50">
        <v>2</v>
      </c>
      <c r="K50" t="s">
        <v>590</v>
      </c>
      <c r="L50" t="s">
        <v>193</v>
      </c>
      <c r="M50">
        <v>1</v>
      </c>
      <c r="N50" t="s">
        <v>699</v>
      </c>
      <c r="O50">
        <f t="shared" si="0"/>
        <v>2</v>
      </c>
      <c r="P50" t="s">
        <v>680</v>
      </c>
      <c r="Q50" t="s">
        <v>701</v>
      </c>
      <c r="R50" s="2"/>
    </row>
    <row r="51" spans="1:18">
      <c r="A51">
        <v>47</v>
      </c>
      <c r="B51" t="s">
        <v>193</v>
      </c>
      <c r="C51" t="s">
        <v>194</v>
      </c>
      <c r="D51" t="s">
        <v>201</v>
      </c>
      <c r="F51" t="s">
        <v>702</v>
      </c>
      <c r="G51" t="s">
        <v>696</v>
      </c>
      <c r="H51">
        <v>2</v>
      </c>
      <c r="I51" t="s">
        <v>703</v>
      </c>
      <c r="J51">
        <v>3</v>
      </c>
      <c r="K51" t="s">
        <v>704</v>
      </c>
      <c r="L51" t="s">
        <v>193</v>
      </c>
      <c r="M51">
        <v>1</v>
      </c>
      <c r="N51" t="s">
        <v>705</v>
      </c>
      <c r="O51">
        <f t="shared" si="0"/>
        <v>6</v>
      </c>
      <c r="P51" t="s">
        <v>680</v>
      </c>
      <c r="Q51" t="s">
        <v>706</v>
      </c>
      <c r="R51" s="2"/>
    </row>
    <row r="52" spans="1:18">
      <c r="A52">
        <v>48</v>
      </c>
      <c r="B52" t="s">
        <v>193</v>
      </c>
      <c r="C52" t="s">
        <v>194</v>
      </c>
      <c r="D52" t="s">
        <v>202</v>
      </c>
      <c r="F52" t="s">
        <v>707</v>
      </c>
      <c r="G52" t="s">
        <v>708</v>
      </c>
      <c r="H52">
        <v>1</v>
      </c>
      <c r="I52" t="s">
        <v>709</v>
      </c>
      <c r="J52">
        <v>2</v>
      </c>
      <c r="K52" t="s">
        <v>590</v>
      </c>
      <c r="L52" t="s">
        <v>193</v>
      </c>
      <c r="M52">
        <v>1</v>
      </c>
      <c r="N52" t="s">
        <v>699</v>
      </c>
      <c r="O52">
        <f t="shared" si="0"/>
        <v>2</v>
      </c>
      <c r="P52" t="s">
        <v>680</v>
      </c>
      <c r="Q52" t="s">
        <v>710</v>
      </c>
      <c r="R52" s="2"/>
    </row>
    <row r="53" spans="1:18">
      <c r="A53">
        <v>49</v>
      </c>
      <c r="B53" t="s">
        <v>193</v>
      </c>
      <c r="C53" t="s">
        <v>194</v>
      </c>
      <c r="D53" t="s">
        <v>203</v>
      </c>
      <c r="F53" t="s">
        <v>711</v>
      </c>
      <c r="G53" t="s">
        <v>712</v>
      </c>
      <c r="H53">
        <v>5</v>
      </c>
      <c r="I53" t="s">
        <v>713</v>
      </c>
      <c r="J53">
        <v>2</v>
      </c>
      <c r="K53" t="s">
        <v>584</v>
      </c>
      <c r="L53" t="s">
        <v>572</v>
      </c>
      <c r="M53">
        <v>1</v>
      </c>
      <c r="N53" t="s">
        <v>714</v>
      </c>
      <c r="O53">
        <f t="shared" si="0"/>
        <v>10</v>
      </c>
      <c r="P53" t="s">
        <v>667</v>
      </c>
      <c r="Q53" t="s">
        <v>715</v>
      </c>
      <c r="R53" s="2"/>
    </row>
    <row r="54" spans="1:18">
      <c r="A54">
        <v>50</v>
      </c>
      <c r="B54" t="s">
        <v>193</v>
      </c>
      <c r="C54" t="s">
        <v>194</v>
      </c>
      <c r="D54" t="s">
        <v>204</v>
      </c>
      <c r="F54" t="s">
        <v>716</v>
      </c>
      <c r="G54" t="s">
        <v>717</v>
      </c>
      <c r="H54">
        <v>1</v>
      </c>
      <c r="I54" t="s">
        <v>718</v>
      </c>
      <c r="J54">
        <v>2</v>
      </c>
      <c r="K54" t="s">
        <v>590</v>
      </c>
      <c r="L54" t="s">
        <v>193</v>
      </c>
      <c r="M54">
        <v>1</v>
      </c>
      <c r="N54" t="s">
        <v>719</v>
      </c>
      <c r="O54">
        <f t="shared" si="0"/>
        <v>2</v>
      </c>
      <c r="P54" t="s">
        <v>720</v>
      </c>
      <c r="Q54" t="s">
        <v>721</v>
      </c>
      <c r="R54" s="2"/>
    </row>
    <row r="55" spans="1:18">
      <c r="A55">
        <v>51</v>
      </c>
      <c r="B55" t="s">
        <v>193</v>
      </c>
      <c r="C55" t="s">
        <v>194</v>
      </c>
      <c r="D55" t="s">
        <v>205</v>
      </c>
      <c r="F55" t="s">
        <v>722</v>
      </c>
      <c r="G55" t="s">
        <v>717</v>
      </c>
      <c r="H55">
        <v>1</v>
      </c>
      <c r="I55" t="s">
        <v>723</v>
      </c>
      <c r="J55">
        <v>2</v>
      </c>
      <c r="K55" t="s">
        <v>590</v>
      </c>
      <c r="L55" t="s">
        <v>535</v>
      </c>
      <c r="M55">
        <v>1</v>
      </c>
      <c r="N55" t="s">
        <v>724</v>
      </c>
      <c r="O55">
        <f t="shared" si="0"/>
        <v>2</v>
      </c>
      <c r="P55" t="s">
        <v>725</v>
      </c>
      <c r="Q55" t="s">
        <v>726</v>
      </c>
      <c r="R55" s="2"/>
    </row>
    <row r="56" spans="1:18">
      <c r="A56">
        <v>52</v>
      </c>
      <c r="B56" t="s">
        <v>193</v>
      </c>
      <c r="C56" t="s">
        <v>194</v>
      </c>
      <c r="D56" t="s">
        <v>206</v>
      </c>
      <c r="F56" t="s">
        <v>727</v>
      </c>
      <c r="G56" t="s">
        <v>728</v>
      </c>
      <c r="H56">
        <v>5</v>
      </c>
      <c r="I56" t="s">
        <v>729</v>
      </c>
      <c r="J56">
        <v>2</v>
      </c>
      <c r="K56" t="s">
        <v>730</v>
      </c>
      <c r="L56" t="s">
        <v>193</v>
      </c>
      <c r="M56">
        <v>2</v>
      </c>
      <c r="N56" t="s">
        <v>731</v>
      </c>
      <c r="O56">
        <f t="shared" si="0"/>
        <v>20</v>
      </c>
      <c r="P56" t="s">
        <v>732</v>
      </c>
      <c r="Q56" t="s">
        <v>733</v>
      </c>
      <c r="R56" s="2"/>
    </row>
    <row r="57" spans="1:18">
      <c r="A57">
        <v>53</v>
      </c>
      <c r="B57" t="s">
        <v>193</v>
      </c>
      <c r="C57" t="s">
        <v>194</v>
      </c>
      <c r="D57" t="s">
        <v>207</v>
      </c>
      <c r="F57" t="s">
        <v>734</v>
      </c>
      <c r="G57" t="s">
        <v>735</v>
      </c>
      <c r="H57">
        <v>1</v>
      </c>
      <c r="I57" t="s">
        <v>736</v>
      </c>
      <c r="J57">
        <v>2</v>
      </c>
      <c r="K57" t="s">
        <v>737</v>
      </c>
      <c r="L57" t="s">
        <v>193</v>
      </c>
      <c r="M57">
        <v>1</v>
      </c>
      <c r="N57" t="s">
        <v>738</v>
      </c>
      <c r="O57">
        <f t="shared" si="0"/>
        <v>2</v>
      </c>
      <c r="P57" t="s">
        <v>739</v>
      </c>
      <c r="Q57" t="s">
        <v>740</v>
      </c>
      <c r="R57" s="2"/>
    </row>
    <row r="58" spans="1:18">
      <c r="A58">
        <v>54</v>
      </c>
      <c r="B58" t="s">
        <v>193</v>
      </c>
      <c r="C58" t="s">
        <v>194</v>
      </c>
      <c r="D58" t="s">
        <v>208</v>
      </c>
      <c r="F58" t="s">
        <v>741</v>
      </c>
      <c r="G58" t="s">
        <v>742</v>
      </c>
      <c r="H58">
        <v>1</v>
      </c>
      <c r="I58" t="s">
        <v>743</v>
      </c>
      <c r="J58">
        <v>1</v>
      </c>
      <c r="K58" t="s">
        <v>744</v>
      </c>
      <c r="L58" t="s">
        <v>535</v>
      </c>
      <c r="M58">
        <v>1</v>
      </c>
      <c r="N58" t="s">
        <v>745</v>
      </c>
      <c r="O58">
        <f t="shared" si="0"/>
        <v>1</v>
      </c>
      <c r="P58" t="s">
        <v>746</v>
      </c>
      <c r="Q58" t="s">
        <v>747</v>
      </c>
      <c r="R58" s="2"/>
    </row>
    <row r="59" spans="1:18">
      <c r="A59">
        <v>55</v>
      </c>
      <c r="B59" t="s">
        <v>209</v>
      </c>
      <c r="C59" t="s">
        <v>210</v>
      </c>
      <c r="D59" t="s">
        <v>211</v>
      </c>
      <c r="F59" t="s">
        <v>748</v>
      </c>
      <c r="G59" t="s">
        <v>749</v>
      </c>
      <c r="H59">
        <v>3</v>
      </c>
      <c r="I59" t="s">
        <v>750</v>
      </c>
      <c r="J59">
        <v>2</v>
      </c>
      <c r="K59" t="s">
        <v>751</v>
      </c>
      <c r="L59" t="s">
        <v>752</v>
      </c>
      <c r="M59">
        <v>1</v>
      </c>
      <c r="N59" t="s">
        <v>753</v>
      </c>
      <c r="O59">
        <f t="shared" si="0"/>
        <v>6</v>
      </c>
      <c r="P59" t="s">
        <v>493</v>
      </c>
      <c r="Q59" t="s">
        <v>754</v>
      </c>
      <c r="R59" s="2"/>
    </row>
    <row r="60" spans="1:18">
      <c r="A60">
        <v>56</v>
      </c>
      <c r="B60" t="s">
        <v>209</v>
      </c>
      <c r="C60" t="s">
        <v>210</v>
      </c>
      <c r="D60" t="s">
        <v>212</v>
      </c>
      <c r="F60" t="s">
        <v>755</v>
      </c>
      <c r="G60" t="s">
        <v>756</v>
      </c>
      <c r="H60">
        <v>2</v>
      </c>
      <c r="I60" t="s">
        <v>757</v>
      </c>
      <c r="J60">
        <v>2</v>
      </c>
      <c r="K60" t="s">
        <v>758</v>
      </c>
      <c r="L60" t="s">
        <v>752</v>
      </c>
      <c r="M60">
        <v>1</v>
      </c>
      <c r="N60" t="s">
        <v>753</v>
      </c>
      <c r="O60">
        <f t="shared" si="0"/>
        <v>4</v>
      </c>
      <c r="P60" t="s">
        <v>493</v>
      </c>
      <c r="Q60" t="s">
        <v>754</v>
      </c>
      <c r="R60" s="2"/>
    </row>
    <row r="61" spans="1:18">
      <c r="A61">
        <v>57</v>
      </c>
      <c r="B61" t="s">
        <v>209</v>
      </c>
      <c r="C61" t="s">
        <v>210</v>
      </c>
      <c r="D61" t="s">
        <v>213</v>
      </c>
      <c r="F61" t="s">
        <v>759</v>
      </c>
      <c r="G61" t="s">
        <v>760</v>
      </c>
      <c r="H61">
        <v>1</v>
      </c>
      <c r="I61" t="s">
        <v>761</v>
      </c>
      <c r="J61">
        <v>2</v>
      </c>
      <c r="K61" t="s">
        <v>590</v>
      </c>
      <c r="L61" t="s">
        <v>131</v>
      </c>
      <c r="M61">
        <v>1</v>
      </c>
      <c r="N61" t="s">
        <v>132</v>
      </c>
      <c r="O61">
        <f t="shared" si="0"/>
        <v>2</v>
      </c>
      <c r="P61" t="s">
        <v>472</v>
      </c>
      <c r="Q61" t="s">
        <v>473</v>
      </c>
      <c r="R61" s="2"/>
    </row>
    <row r="62" spans="1:18">
      <c r="A62">
        <v>58</v>
      </c>
      <c r="B62" t="s">
        <v>209</v>
      </c>
      <c r="C62" t="s">
        <v>210</v>
      </c>
      <c r="D62" t="s">
        <v>214</v>
      </c>
      <c r="F62" t="s">
        <v>755</v>
      </c>
      <c r="G62" t="s">
        <v>756</v>
      </c>
      <c r="H62">
        <v>2</v>
      </c>
      <c r="I62" t="s">
        <v>757</v>
      </c>
      <c r="J62">
        <v>2</v>
      </c>
      <c r="K62" t="s">
        <v>762</v>
      </c>
      <c r="L62" t="s">
        <v>493</v>
      </c>
      <c r="M62">
        <v>1</v>
      </c>
      <c r="N62" t="s">
        <v>753</v>
      </c>
      <c r="O62">
        <f t="shared" si="0"/>
        <v>4</v>
      </c>
      <c r="P62" t="s">
        <v>493</v>
      </c>
      <c r="Q62" t="s">
        <v>754</v>
      </c>
      <c r="R62" s="2"/>
    </row>
    <row r="63" spans="1:18">
      <c r="A63">
        <v>59</v>
      </c>
      <c r="B63" t="s">
        <v>215</v>
      </c>
      <c r="C63" t="s">
        <v>216</v>
      </c>
      <c r="D63" t="s">
        <v>213</v>
      </c>
      <c r="F63" t="s">
        <v>759</v>
      </c>
      <c r="G63" t="s">
        <v>760</v>
      </c>
      <c r="H63">
        <v>5</v>
      </c>
      <c r="I63" t="s">
        <v>763</v>
      </c>
      <c r="J63">
        <v>2</v>
      </c>
      <c r="K63" t="s">
        <v>590</v>
      </c>
      <c r="L63" t="s">
        <v>131</v>
      </c>
      <c r="M63">
        <v>1</v>
      </c>
      <c r="N63" t="s">
        <v>132</v>
      </c>
      <c r="O63">
        <f t="shared" si="0"/>
        <v>10</v>
      </c>
      <c r="P63" t="s">
        <v>472</v>
      </c>
      <c r="Q63" t="s">
        <v>473</v>
      </c>
      <c r="R63" s="2"/>
    </row>
    <row r="64" spans="1:18">
      <c r="A64">
        <v>60</v>
      </c>
      <c r="B64" t="s">
        <v>215</v>
      </c>
      <c r="C64" t="s">
        <v>217</v>
      </c>
      <c r="D64" t="s">
        <v>218</v>
      </c>
      <c r="F64" t="s">
        <v>764</v>
      </c>
      <c r="G64" t="s">
        <v>765</v>
      </c>
      <c r="H64">
        <v>5</v>
      </c>
      <c r="I64" t="s">
        <v>766</v>
      </c>
      <c r="J64">
        <v>2</v>
      </c>
      <c r="K64" t="s">
        <v>590</v>
      </c>
      <c r="L64" t="s">
        <v>493</v>
      </c>
      <c r="M64">
        <v>2</v>
      </c>
      <c r="N64" t="s">
        <v>767</v>
      </c>
      <c r="O64">
        <f t="shared" si="0"/>
        <v>20</v>
      </c>
      <c r="P64" t="s">
        <v>493</v>
      </c>
      <c r="Q64" t="s">
        <v>768</v>
      </c>
      <c r="R64" s="2"/>
    </row>
    <row r="65" spans="1:18">
      <c r="A65">
        <v>61</v>
      </c>
      <c r="B65" t="s">
        <v>219</v>
      </c>
      <c r="C65" t="s">
        <v>220</v>
      </c>
      <c r="D65" t="s">
        <v>221</v>
      </c>
      <c r="F65" t="s">
        <v>769</v>
      </c>
      <c r="G65" t="s">
        <v>770</v>
      </c>
      <c r="H65">
        <v>3</v>
      </c>
      <c r="I65" t="s">
        <v>771</v>
      </c>
      <c r="J65">
        <v>2</v>
      </c>
      <c r="K65" t="s">
        <v>772</v>
      </c>
      <c r="L65" t="s">
        <v>752</v>
      </c>
      <c r="M65">
        <v>1</v>
      </c>
      <c r="N65" t="s">
        <v>773</v>
      </c>
      <c r="O65">
        <f t="shared" si="0"/>
        <v>6</v>
      </c>
      <c r="P65" t="s">
        <v>493</v>
      </c>
      <c r="Q65" t="s">
        <v>774</v>
      </c>
      <c r="R65" s="2"/>
    </row>
    <row r="66" spans="1:18">
      <c r="A66">
        <v>62</v>
      </c>
      <c r="B66" t="s">
        <v>222</v>
      </c>
      <c r="C66" t="s">
        <v>223</v>
      </c>
      <c r="D66" t="s">
        <v>224</v>
      </c>
      <c r="F66" t="s">
        <v>775</v>
      </c>
      <c r="G66" t="s">
        <v>776</v>
      </c>
      <c r="H66">
        <v>5</v>
      </c>
      <c r="I66" t="s">
        <v>777</v>
      </c>
      <c r="J66">
        <v>2</v>
      </c>
      <c r="K66" t="s">
        <v>778</v>
      </c>
      <c r="L66" t="s">
        <v>779</v>
      </c>
      <c r="M66">
        <v>2</v>
      </c>
      <c r="N66" t="s">
        <v>780</v>
      </c>
      <c r="O66">
        <f t="shared" si="0"/>
        <v>20</v>
      </c>
      <c r="P66" t="s">
        <v>781</v>
      </c>
      <c r="Q66" t="s">
        <v>782</v>
      </c>
      <c r="R66" s="2"/>
    </row>
    <row r="67" spans="1:18">
      <c r="A67">
        <v>63</v>
      </c>
      <c r="B67" t="s">
        <v>222</v>
      </c>
      <c r="C67" t="s">
        <v>223</v>
      </c>
      <c r="D67" t="s">
        <v>225</v>
      </c>
      <c r="F67" t="s">
        <v>775</v>
      </c>
      <c r="G67" t="s">
        <v>776</v>
      </c>
      <c r="H67">
        <v>5</v>
      </c>
      <c r="I67" t="s">
        <v>777</v>
      </c>
      <c r="J67">
        <v>2</v>
      </c>
      <c r="K67" t="s">
        <v>762</v>
      </c>
      <c r="L67" t="s">
        <v>779</v>
      </c>
      <c r="M67">
        <v>2</v>
      </c>
      <c r="N67" t="s">
        <v>780</v>
      </c>
      <c r="O67">
        <f t="shared" si="0"/>
        <v>20</v>
      </c>
      <c r="P67" t="s">
        <v>781</v>
      </c>
      <c r="Q67" t="s">
        <v>782</v>
      </c>
      <c r="R67" s="2"/>
    </row>
    <row r="68" spans="1:18">
      <c r="A68">
        <v>64</v>
      </c>
      <c r="B68" t="s">
        <v>222</v>
      </c>
      <c r="C68" t="s">
        <v>223</v>
      </c>
      <c r="D68" t="s">
        <v>226</v>
      </c>
      <c r="F68" t="s">
        <v>783</v>
      </c>
      <c r="G68" t="s">
        <v>784</v>
      </c>
      <c r="H68">
        <v>5</v>
      </c>
      <c r="I68" t="s">
        <v>777</v>
      </c>
      <c r="J68">
        <v>2</v>
      </c>
      <c r="K68" t="s">
        <v>785</v>
      </c>
      <c r="L68" t="s">
        <v>779</v>
      </c>
      <c r="M68">
        <v>2</v>
      </c>
      <c r="N68" t="s">
        <v>780</v>
      </c>
      <c r="O68">
        <f t="shared" si="0"/>
        <v>20</v>
      </c>
      <c r="P68" t="s">
        <v>781</v>
      </c>
      <c r="Q68" t="s">
        <v>782</v>
      </c>
      <c r="R68" s="2"/>
    </row>
    <row r="69" spans="1:18">
      <c r="A69">
        <v>65</v>
      </c>
      <c r="B69" t="s">
        <v>222</v>
      </c>
      <c r="C69" t="s">
        <v>223</v>
      </c>
      <c r="D69" t="s">
        <v>227</v>
      </c>
      <c r="F69" t="s">
        <v>783</v>
      </c>
      <c r="G69" t="s">
        <v>784</v>
      </c>
      <c r="H69">
        <v>5</v>
      </c>
      <c r="I69" t="s">
        <v>777</v>
      </c>
      <c r="J69">
        <v>2</v>
      </c>
      <c r="K69" t="s">
        <v>762</v>
      </c>
      <c r="L69" t="s">
        <v>779</v>
      </c>
      <c r="M69">
        <v>2</v>
      </c>
      <c r="N69" t="s">
        <v>780</v>
      </c>
      <c r="O69">
        <f t="shared" si="0"/>
        <v>20</v>
      </c>
      <c r="P69" t="s">
        <v>781</v>
      </c>
      <c r="Q69" t="s">
        <v>782</v>
      </c>
      <c r="R69" s="2"/>
    </row>
    <row r="70" spans="1:18">
      <c r="A70">
        <v>66</v>
      </c>
      <c r="B70" t="s">
        <v>222</v>
      </c>
      <c r="C70" t="s">
        <v>223</v>
      </c>
      <c r="D70" t="s">
        <v>228</v>
      </c>
      <c r="F70" t="s">
        <v>786</v>
      </c>
      <c r="G70" t="s">
        <v>787</v>
      </c>
      <c r="H70">
        <v>1</v>
      </c>
      <c r="I70" t="s">
        <v>788</v>
      </c>
      <c r="J70">
        <v>2</v>
      </c>
      <c r="K70" t="s">
        <v>762</v>
      </c>
      <c r="L70" t="s">
        <v>779</v>
      </c>
      <c r="M70">
        <v>2</v>
      </c>
      <c r="N70" t="s">
        <v>789</v>
      </c>
      <c r="O70">
        <f t="shared" ref="O70:O103" si="1">H70*J70*M70</f>
        <v>4</v>
      </c>
      <c r="P70" t="s">
        <v>790</v>
      </c>
      <c r="Q70" t="s">
        <v>791</v>
      </c>
      <c r="R70" s="2"/>
    </row>
    <row r="71" spans="1:18">
      <c r="A71">
        <v>67</v>
      </c>
      <c r="B71" t="s">
        <v>222</v>
      </c>
      <c r="C71" t="s">
        <v>223</v>
      </c>
      <c r="D71" t="s">
        <v>229</v>
      </c>
      <c r="F71" t="s">
        <v>792</v>
      </c>
      <c r="G71" t="s">
        <v>793</v>
      </c>
      <c r="H71">
        <v>5</v>
      </c>
      <c r="I71" t="s">
        <v>777</v>
      </c>
      <c r="J71">
        <v>2</v>
      </c>
      <c r="K71" t="s">
        <v>794</v>
      </c>
      <c r="L71" t="s">
        <v>572</v>
      </c>
      <c r="M71">
        <v>1</v>
      </c>
      <c r="N71" t="s">
        <v>795</v>
      </c>
      <c r="O71">
        <f t="shared" si="1"/>
        <v>10</v>
      </c>
      <c r="P71" t="s">
        <v>493</v>
      </c>
      <c r="Q71" t="s">
        <v>796</v>
      </c>
      <c r="R71" s="2"/>
    </row>
    <row r="72" spans="1:18">
      <c r="A72">
        <v>68</v>
      </c>
      <c r="B72" t="s">
        <v>222</v>
      </c>
      <c r="C72" t="s">
        <v>223</v>
      </c>
      <c r="D72" t="s">
        <v>230</v>
      </c>
      <c r="F72" t="s">
        <v>797</v>
      </c>
      <c r="G72" t="s">
        <v>798</v>
      </c>
      <c r="H72">
        <v>1</v>
      </c>
      <c r="I72" t="s">
        <v>799</v>
      </c>
      <c r="J72">
        <v>2</v>
      </c>
      <c r="K72" t="s">
        <v>762</v>
      </c>
      <c r="L72" t="s">
        <v>660</v>
      </c>
      <c r="M72">
        <v>1</v>
      </c>
      <c r="N72" t="s">
        <v>800</v>
      </c>
      <c r="O72">
        <f t="shared" si="1"/>
        <v>2</v>
      </c>
      <c r="P72" t="s">
        <v>801</v>
      </c>
      <c r="Q72" t="s">
        <v>796</v>
      </c>
      <c r="R72" s="2"/>
    </row>
    <row r="73" spans="1:18">
      <c r="A73">
        <v>69</v>
      </c>
      <c r="B73" t="s">
        <v>222</v>
      </c>
      <c r="C73" t="s">
        <v>223</v>
      </c>
      <c r="D73" t="s">
        <v>231</v>
      </c>
      <c r="F73" t="s">
        <v>797</v>
      </c>
      <c r="G73" t="s">
        <v>798</v>
      </c>
      <c r="H73">
        <v>1</v>
      </c>
      <c r="I73" t="s">
        <v>802</v>
      </c>
      <c r="J73">
        <v>2</v>
      </c>
      <c r="K73" t="s">
        <v>803</v>
      </c>
      <c r="L73" t="s">
        <v>660</v>
      </c>
      <c r="M73">
        <v>1</v>
      </c>
      <c r="N73" t="s">
        <v>800</v>
      </c>
      <c r="O73">
        <f t="shared" si="1"/>
        <v>2</v>
      </c>
      <c r="P73" t="s">
        <v>801</v>
      </c>
      <c r="Q73" t="s">
        <v>674</v>
      </c>
      <c r="R73" s="2"/>
    </row>
    <row r="74" spans="1:18">
      <c r="A74">
        <v>70</v>
      </c>
      <c r="B74" t="s">
        <v>232</v>
      </c>
      <c r="C74" t="s">
        <v>233</v>
      </c>
      <c r="D74" t="s">
        <v>234</v>
      </c>
      <c r="F74" t="s">
        <v>804</v>
      </c>
      <c r="G74" t="s">
        <v>805</v>
      </c>
      <c r="H74">
        <v>1</v>
      </c>
      <c r="I74" t="s">
        <v>802</v>
      </c>
      <c r="J74">
        <v>2</v>
      </c>
      <c r="K74" t="s">
        <v>762</v>
      </c>
      <c r="L74" t="s">
        <v>660</v>
      </c>
      <c r="M74">
        <v>1</v>
      </c>
      <c r="N74" t="s">
        <v>800</v>
      </c>
      <c r="O74">
        <f t="shared" si="1"/>
        <v>2</v>
      </c>
      <c r="P74" t="s">
        <v>801</v>
      </c>
      <c r="Q74" t="s">
        <v>806</v>
      </c>
      <c r="R74" s="2"/>
    </row>
    <row r="75" spans="1:18">
      <c r="A75">
        <v>71</v>
      </c>
      <c r="B75" t="s">
        <v>232</v>
      </c>
      <c r="C75" t="s">
        <v>233</v>
      </c>
      <c r="D75" t="s">
        <v>235</v>
      </c>
      <c r="F75" t="s">
        <v>807</v>
      </c>
      <c r="G75" t="s">
        <v>808</v>
      </c>
      <c r="H75">
        <v>1</v>
      </c>
      <c r="I75" t="s">
        <v>809</v>
      </c>
      <c r="J75">
        <v>2</v>
      </c>
      <c r="K75" t="s">
        <v>810</v>
      </c>
      <c r="L75" t="s">
        <v>660</v>
      </c>
      <c r="M75">
        <v>1</v>
      </c>
      <c r="N75" t="s">
        <v>811</v>
      </c>
      <c r="O75">
        <f t="shared" si="1"/>
        <v>2</v>
      </c>
      <c r="P75" t="s">
        <v>493</v>
      </c>
      <c r="Q75" t="s">
        <v>812</v>
      </c>
      <c r="R75" s="2"/>
    </row>
    <row r="76" spans="1:18">
      <c r="A76">
        <v>72</v>
      </c>
      <c r="B76" t="s">
        <v>236</v>
      </c>
      <c r="C76" t="s">
        <v>237</v>
      </c>
      <c r="D76" t="s">
        <v>234</v>
      </c>
      <c r="F76" t="s">
        <v>804</v>
      </c>
      <c r="G76" t="s">
        <v>798</v>
      </c>
      <c r="H76">
        <v>1</v>
      </c>
      <c r="I76" t="s">
        <v>802</v>
      </c>
      <c r="J76">
        <v>2</v>
      </c>
      <c r="K76" t="s">
        <v>762</v>
      </c>
      <c r="L76" t="s">
        <v>660</v>
      </c>
      <c r="M76">
        <v>1</v>
      </c>
      <c r="N76" t="s">
        <v>800</v>
      </c>
      <c r="O76">
        <f t="shared" si="1"/>
        <v>2</v>
      </c>
      <c r="P76" t="s">
        <v>801</v>
      </c>
      <c r="Q76" t="s">
        <v>806</v>
      </c>
      <c r="R76" s="2"/>
    </row>
    <row r="77" spans="1:18">
      <c r="A77">
        <v>73</v>
      </c>
      <c r="B77" t="s">
        <v>236</v>
      </c>
      <c r="C77" t="s">
        <v>237</v>
      </c>
      <c r="D77" t="s">
        <v>235</v>
      </c>
      <c r="F77" t="s">
        <v>807</v>
      </c>
      <c r="G77" t="s">
        <v>808</v>
      </c>
      <c r="H77">
        <v>1</v>
      </c>
      <c r="I77" t="s">
        <v>809</v>
      </c>
      <c r="J77">
        <v>2</v>
      </c>
      <c r="K77" t="s">
        <v>810</v>
      </c>
      <c r="L77" t="s">
        <v>660</v>
      </c>
      <c r="M77">
        <v>1</v>
      </c>
      <c r="N77" t="s">
        <v>811</v>
      </c>
      <c r="O77">
        <f t="shared" si="1"/>
        <v>2</v>
      </c>
      <c r="P77" t="s">
        <v>493</v>
      </c>
      <c r="Q77" t="s">
        <v>812</v>
      </c>
      <c r="R77" s="2"/>
    </row>
    <row r="78" spans="1:18">
      <c r="A78">
        <v>74</v>
      </c>
      <c r="B78" t="s">
        <v>238</v>
      </c>
      <c r="C78" t="s">
        <v>237</v>
      </c>
      <c r="D78" t="s">
        <v>234</v>
      </c>
      <c r="F78" t="s">
        <v>804</v>
      </c>
      <c r="G78" t="s">
        <v>798</v>
      </c>
      <c r="H78">
        <v>1</v>
      </c>
      <c r="I78" t="s">
        <v>802</v>
      </c>
      <c r="J78">
        <v>2</v>
      </c>
      <c r="K78" t="s">
        <v>762</v>
      </c>
      <c r="L78" t="s">
        <v>660</v>
      </c>
      <c r="M78">
        <v>1</v>
      </c>
      <c r="N78" t="s">
        <v>800</v>
      </c>
      <c r="O78">
        <f t="shared" si="1"/>
        <v>2</v>
      </c>
      <c r="P78" t="s">
        <v>801</v>
      </c>
      <c r="Q78" t="s">
        <v>806</v>
      </c>
      <c r="R78" s="2"/>
    </row>
    <row r="79" spans="1:18">
      <c r="A79">
        <v>75</v>
      </c>
      <c r="B79" t="s">
        <v>238</v>
      </c>
      <c r="C79" t="s">
        <v>237</v>
      </c>
      <c r="D79" t="s">
        <v>235</v>
      </c>
      <c r="F79" t="s">
        <v>807</v>
      </c>
      <c r="G79" t="s">
        <v>808</v>
      </c>
      <c r="H79">
        <v>1</v>
      </c>
      <c r="I79" t="s">
        <v>809</v>
      </c>
      <c r="J79">
        <v>2</v>
      </c>
      <c r="K79" t="s">
        <v>810</v>
      </c>
      <c r="L79" t="s">
        <v>660</v>
      </c>
      <c r="M79">
        <v>1</v>
      </c>
      <c r="N79" t="s">
        <v>811</v>
      </c>
      <c r="O79">
        <f t="shared" si="1"/>
        <v>2</v>
      </c>
      <c r="P79" t="s">
        <v>493</v>
      </c>
      <c r="Q79" t="s">
        <v>812</v>
      </c>
      <c r="R79" s="2"/>
    </row>
    <row r="80" spans="1:18">
      <c r="A80">
        <v>76</v>
      </c>
      <c r="B80" t="s">
        <v>239</v>
      </c>
      <c r="C80" t="s">
        <v>240</v>
      </c>
      <c r="D80" t="s">
        <v>235</v>
      </c>
      <c r="F80" t="s">
        <v>807</v>
      </c>
      <c r="G80" t="s">
        <v>808</v>
      </c>
      <c r="H80">
        <v>1</v>
      </c>
      <c r="I80" t="s">
        <v>809</v>
      </c>
      <c r="J80">
        <v>2</v>
      </c>
      <c r="K80" t="s">
        <v>810</v>
      </c>
      <c r="L80" t="s">
        <v>660</v>
      </c>
      <c r="M80">
        <v>1</v>
      </c>
      <c r="N80" t="s">
        <v>811</v>
      </c>
      <c r="O80">
        <f t="shared" si="1"/>
        <v>2</v>
      </c>
      <c r="P80" t="s">
        <v>493</v>
      </c>
      <c r="Q80" t="s">
        <v>812</v>
      </c>
      <c r="R80" s="2"/>
    </row>
    <row r="81" spans="1:18">
      <c r="A81">
        <v>77</v>
      </c>
      <c r="B81" t="s">
        <v>241</v>
      </c>
      <c r="C81" t="s">
        <v>242</v>
      </c>
      <c r="D81" t="s">
        <v>235</v>
      </c>
      <c r="F81" t="s">
        <v>807</v>
      </c>
      <c r="G81" t="s">
        <v>808</v>
      </c>
      <c r="H81">
        <v>1</v>
      </c>
      <c r="I81" t="s">
        <v>809</v>
      </c>
      <c r="J81">
        <v>2</v>
      </c>
      <c r="K81" t="s">
        <v>810</v>
      </c>
      <c r="L81" t="s">
        <v>660</v>
      </c>
      <c r="M81">
        <v>1</v>
      </c>
      <c r="N81" t="s">
        <v>811</v>
      </c>
      <c r="O81">
        <f t="shared" si="1"/>
        <v>2</v>
      </c>
      <c r="P81" t="s">
        <v>493</v>
      </c>
      <c r="Q81" t="s">
        <v>812</v>
      </c>
      <c r="R81" s="2"/>
    </row>
    <row r="82" spans="1:18">
      <c r="A82">
        <v>78</v>
      </c>
      <c r="B82" t="s">
        <v>243</v>
      </c>
      <c r="C82" t="s">
        <v>244</v>
      </c>
      <c r="D82" t="s">
        <v>234</v>
      </c>
      <c r="F82" t="s">
        <v>813</v>
      </c>
      <c r="G82" t="s">
        <v>814</v>
      </c>
      <c r="H82">
        <v>5</v>
      </c>
      <c r="I82" t="s">
        <v>815</v>
      </c>
      <c r="J82">
        <v>1</v>
      </c>
      <c r="K82" t="s">
        <v>816</v>
      </c>
      <c r="L82" t="s">
        <v>660</v>
      </c>
      <c r="M82">
        <v>1</v>
      </c>
      <c r="N82" t="s">
        <v>817</v>
      </c>
      <c r="O82">
        <f t="shared" si="1"/>
        <v>5</v>
      </c>
      <c r="P82" t="s">
        <v>818</v>
      </c>
      <c r="Q82" t="s">
        <v>819</v>
      </c>
      <c r="R82" s="2"/>
    </row>
    <row r="83" spans="1:18">
      <c r="A83">
        <v>79</v>
      </c>
      <c r="B83" t="s">
        <v>243</v>
      </c>
      <c r="C83" t="s">
        <v>244</v>
      </c>
      <c r="D83" t="s">
        <v>235</v>
      </c>
      <c r="F83" t="s">
        <v>820</v>
      </c>
      <c r="G83" t="s">
        <v>814</v>
      </c>
      <c r="H83">
        <v>5</v>
      </c>
      <c r="I83" t="s">
        <v>821</v>
      </c>
      <c r="J83">
        <v>1</v>
      </c>
      <c r="K83" t="s">
        <v>816</v>
      </c>
      <c r="L83" t="s">
        <v>660</v>
      </c>
      <c r="M83">
        <v>1</v>
      </c>
      <c r="N83" t="s">
        <v>817</v>
      </c>
      <c r="O83">
        <f t="shared" si="1"/>
        <v>5</v>
      </c>
      <c r="P83" t="s">
        <v>818</v>
      </c>
      <c r="Q83" t="s">
        <v>819</v>
      </c>
      <c r="R83" s="2"/>
    </row>
    <row r="84" spans="1:18">
      <c r="A84">
        <v>80</v>
      </c>
      <c r="B84" t="s">
        <v>243</v>
      </c>
      <c r="C84" t="s">
        <v>244</v>
      </c>
      <c r="D84" t="s">
        <v>245</v>
      </c>
      <c r="F84" t="s">
        <v>820</v>
      </c>
      <c r="G84" t="s">
        <v>814</v>
      </c>
      <c r="H84">
        <v>5</v>
      </c>
      <c r="I84" t="s">
        <v>821</v>
      </c>
      <c r="J84">
        <v>1</v>
      </c>
      <c r="K84" t="s">
        <v>822</v>
      </c>
      <c r="L84" t="s">
        <v>493</v>
      </c>
      <c r="M84" t="s">
        <v>493</v>
      </c>
      <c r="N84" t="s">
        <v>493</v>
      </c>
      <c r="O84" t="e">
        <f t="shared" si="1"/>
        <v>#VALUE!</v>
      </c>
      <c r="P84" t="s">
        <v>493</v>
      </c>
      <c r="Q84" t="s">
        <v>823</v>
      </c>
      <c r="R84" s="2"/>
    </row>
    <row r="85" spans="1:18">
      <c r="A85">
        <v>81</v>
      </c>
      <c r="B85" t="s">
        <v>246</v>
      </c>
      <c r="C85" t="s">
        <v>247</v>
      </c>
      <c r="D85" t="s">
        <v>248</v>
      </c>
      <c r="F85" t="s">
        <v>824</v>
      </c>
      <c r="G85" t="s">
        <v>825</v>
      </c>
      <c r="H85">
        <v>5</v>
      </c>
      <c r="I85" t="s">
        <v>826</v>
      </c>
      <c r="J85">
        <v>2</v>
      </c>
      <c r="K85" t="s">
        <v>827</v>
      </c>
      <c r="L85" t="s">
        <v>828</v>
      </c>
      <c r="M85">
        <v>1</v>
      </c>
      <c r="N85" t="s">
        <v>829</v>
      </c>
      <c r="O85">
        <f t="shared" si="1"/>
        <v>10</v>
      </c>
      <c r="P85" t="s">
        <v>830</v>
      </c>
      <c r="Q85" t="s">
        <v>819</v>
      </c>
      <c r="R85" s="2"/>
    </row>
    <row r="86" spans="1:18">
      <c r="A86">
        <v>82</v>
      </c>
      <c r="B86" t="s">
        <v>249</v>
      </c>
      <c r="C86" t="s">
        <v>250</v>
      </c>
      <c r="D86" t="s">
        <v>251</v>
      </c>
      <c r="F86" t="s">
        <v>831</v>
      </c>
      <c r="G86" t="s">
        <v>832</v>
      </c>
      <c r="H86">
        <v>5</v>
      </c>
      <c r="I86" t="s">
        <v>833</v>
      </c>
      <c r="J86">
        <v>1</v>
      </c>
      <c r="K86" t="s">
        <v>834</v>
      </c>
      <c r="L86" t="s">
        <v>835</v>
      </c>
      <c r="M86">
        <v>1</v>
      </c>
      <c r="N86" t="s">
        <v>836</v>
      </c>
      <c r="O86">
        <f t="shared" si="1"/>
        <v>5</v>
      </c>
      <c r="P86" t="s">
        <v>837</v>
      </c>
      <c r="Q86" t="s">
        <v>838</v>
      </c>
      <c r="R86" s="2"/>
    </row>
    <row r="87" spans="1:18">
      <c r="A87">
        <v>83</v>
      </c>
      <c r="B87" t="s">
        <v>249</v>
      </c>
      <c r="C87" t="s">
        <v>250</v>
      </c>
      <c r="D87" t="s">
        <v>252</v>
      </c>
      <c r="F87" t="s">
        <v>839</v>
      </c>
      <c r="G87" t="s">
        <v>840</v>
      </c>
      <c r="H87">
        <v>2</v>
      </c>
      <c r="I87" t="s">
        <v>841</v>
      </c>
      <c r="J87">
        <v>1</v>
      </c>
      <c r="K87" t="s">
        <v>842</v>
      </c>
      <c r="L87" t="s">
        <v>835</v>
      </c>
      <c r="M87">
        <v>1</v>
      </c>
      <c r="N87" t="s">
        <v>842</v>
      </c>
      <c r="O87">
        <f t="shared" si="1"/>
        <v>2</v>
      </c>
      <c r="P87" t="s">
        <v>493</v>
      </c>
      <c r="Q87" t="s">
        <v>843</v>
      </c>
      <c r="R87" s="2"/>
    </row>
    <row r="88" spans="1:18">
      <c r="A88">
        <v>84</v>
      </c>
      <c r="B88" t="s">
        <v>249</v>
      </c>
      <c r="C88" t="s">
        <v>250</v>
      </c>
      <c r="D88" t="s">
        <v>253</v>
      </c>
      <c r="F88" t="s">
        <v>844</v>
      </c>
      <c r="G88" t="s">
        <v>845</v>
      </c>
      <c r="H88">
        <v>5</v>
      </c>
      <c r="I88" t="s">
        <v>846</v>
      </c>
      <c r="J88">
        <v>1</v>
      </c>
      <c r="K88" t="s">
        <v>847</v>
      </c>
      <c r="L88" t="s">
        <v>835</v>
      </c>
      <c r="M88">
        <v>1</v>
      </c>
      <c r="N88" t="s">
        <v>848</v>
      </c>
      <c r="O88">
        <f t="shared" si="1"/>
        <v>5</v>
      </c>
      <c r="P88" t="s">
        <v>849</v>
      </c>
      <c r="Q88" t="s">
        <v>838</v>
      </c>
      <c r="R88" s="2"/>
    </row>
    <row r="89" spans="1:18">
      <c r="A89">
        <v>85</v>
      </c>
      <c r="B89" t="s">
        <v>249</v>
      </c>
      <c r="C89" t="s">
        <v>250</v>
      </c>
      <c r="D89" t="s">
        <v>254</v>
      </c>
      <c r="F89" t="s">
        <v>850</v>
      </c>
      <c r="G89" t="s">
        <v>851</v>
      </c>
      <c r="H89">
        <v>5</v>
      </c>
      <c r="I89" t="s">
        <v>852</v>
      </c>
      <c r="J89">
        <v>1</v>
      </c>
      <c r="K89" t="s">
        <v>847</v>
      </c>
      <c r="L89" t="s">
        <v>835</v>
      </c>
      <c r="M89">
        <v>1</v>
      </c>
      <c r="N89" t="s">
        <v>848</v>
      </c>
      <c r="O89">
        <f t="shared" si="1"/>
        <v>5</v>
      </c>
      <c r="P89" t="s">
        <v>849</v>
      </c>
      <c r="Q89" t="s">
        <v>838</v>
      </c>
      <c r="R89" s="2"/>
    </row>
    <row r="90" spans="1:18">
      <c r="A90">
        <v>86</v>
      </c>
      <c r="B90" t="s">
        <v>255</v>
      </c>
      <c r="C90" t="s">
        <v>256</v>
      </c>
      <c r="D90" t="s">
        <v>257</v>
      </c>
      <c r="F90" t="s">
        <v>853</v>
      </c>
      <c r="G90" t="s">
        <v>854</v>
      </c>
      <c r="H90">
        <v>3</v>
      </c>
      <c r="I90" t="s">
        <v>855</v>
      </c>
      <c r="J90">
        <v>2</v>
      </c>
      <c r="K90" t="s">
        <v>856</v>
      </c>
      <c r="L90" t="s">
        <v>193</v>
      </c>
      <c r="M90">
        <v>1</v>
      </c>
      <c r="N90" t="s">
        <v>857</v>
      </c>
      <c r="O90">
        <f t="shared" si="1"/>
        <v>6</v>
      </c>
      <c r="P90" t="s">
        <v>858</v>
      </c>
      <c r="Q90" t="s">
        <v>859</v>
      </c>
      <c r="R90" s="2"/>
    </row>
    <row r="91" spans="1:18">
      <c r="A91">
        <v>87</v>
      </c>
      <c r="B91" t="s">
        <v>258</v>
      </c>
      <c r="C91" t="s">
        <v>259</v>
      </c>
      <c r="D91" t="s">
        <v>260</v>
      </c>
      <c r="F91" t="s">
        <v>860</v>
      </c>
      <c r="G91" t="s">
        <v>861</v>
      </c>
      <c r="H91">
        <v>5</v>
      </c>
      <c r="I91" t="s">
        <v>861</v>
      </c>
      <c r="J91">
        <v>1</v>
      </c>
      <c r="K91" t="s">
        <v>862</v>
      </c>
      <c r="L91" t="s">
        <v>863</v>
      </c>
      <c r="M91">
        <v>1</v>
      </c>
      <c r="N91" t="s">
        <v>864</v>
      </c>
      <c r="O91">
        <f t="shared" si="1"/>
        <v>5</v>
      </c>
      <c r="P91" t="s">
        <v>865</v>
      </c>
      <c r="Q91" t="s">
        <v>866</v>
      </c>
      <c r="R91" s="2"/>
    </row>
    <row r="92" spans="1:18">
      <c r="A92">
        <v>88</v>
      </c>
      <c r="B92" t="s">
        <v>261</v>
      </c>
      <c r="C92" t="s">
        <v>259</v>
      </c>
      <c r="D92" t="s">
        <v>262</v>
      </c>
      <c r="F92" t="s">
        <v>867</v>
      </c>
      <c r="G92" t="s">
        <v>868</v>
      </c>
      <c r="H92">
        <v>3</v>
      </c>
      <c r="I92" t="s">
        <v>869</v>
      </c>
      <c r="J92">
        <v>1</v>
      </c>
      <c r="K92" t="s">
        <v>862</v>
      </c>
      <c r="L92" t="s">
        <v>863</v>
      </c>
      <c r="M92">
        <v>1</v>
      </c>
      <c r="N92" t="s">
        <v>864</v>
      </c>
      <c r="O92">
        <f t="shared" si="1"/>
        <v>3</v>
      </c>
      <c r="P92" t="s">
        <v>870</v>
      </c>
      <c r="Q92" t="s">
        <v>866</v>
      </c>
      <c r="R92" s="2"/>
    </row>
    <row r="93" spans="1:18">
      <c r="A93">
        <v>89</v>
      </c>
      <c r="B93" t="s">
        <v>261</v>
      </c>
      <c r="C93" t="s">
        <v>259</v>
      </c>
      <c r="D93" t="s">
        <v>263</v>
      </c>
      <c r="F93" t="s">
        <v>871</v>
      </c>
      <c r="G93" t="s">
        <v>872</v>
      </c>
      <c r="H93">
        <v>5</v>
      </c>
      <c r="I93" t="s">
        <v>873</v>
      </c>
      <c r="J93">
        <v>1</v>
      </c>
      <c r="K93" t="s">
        <v>862</v>
      </c>
      <c r="L93" t="s">
        <v>863</v>
      </c>
      <c r="M93">
        <v>1</v>
      </c>
      <c r="N93" t="s">
        <v>864</v>
      </c>
      <c r="O93">
        <f t="shared" si="1"/>
        <v>5</v>
      </c>
      <c r="P93" t="s">
        <v>874</v>
      </c>
      <c r="Q93" t="s">
        <v>866</v>
      </c>
      <c r="R93" s="2"/>
    </row>
    <row r="94" spans="1:18">
      <c r="A94">
        <v>90</v>
      </c>
      <c r="B94" t="s">
        <v>261</v>
      </c>
      <c r="C94" t="s">
        <v>259</v>
      </c>
      <c r="D94" t="s">
        <v>264</v>
      </c>
      <c r="F94" t="s">
        <v>875</v>
      </c>
      <c r="G94" t="s">
        <v>876</v>
      </c>
      <c r="H94">
        <v>2</v>
      </c>
      <c r="I94" t="s">
        <v>877</v>
      </c>
      <c r="J94">
        <v>1</v>
      </c>
      <c r="K94" t="s">
        <v>862</v>
      </c>
      <c r="L94" t="s">
        <v>863</v>
      </c>
      <c r="M94">
        <v>1</v>
      </c>
      <c r="N94" t="s">
        <v>864</v>
      </c>
      <c r="O94">
        <f t="shared" si="1"/>
        <v>2</v>
      </c>
      <c r="P94" t="s">
        <v>878</v>
      </c>
      <c r="Q94" t="s">
        <v>866</v>
      </c>
      <c r="R94" s="2"/>
    </row>
    <row r="95" spans="1:18">
      <c r="A95">
        <v>91</v>
      </c>
      <c r="B95" t="s">
        <v>261</v>
      </c>
      <c r="C95" t="s">
        <v>259</v>
      </c>
      <c r="D95" t="s">
        <v>265</v>
      </c>
      <c r="F95" t="s">
        <v>879</v>
      </c>
      <c r="G95" t="s">
        <v>880</v>
      </c>
      <c r="H95">
        <v>4</v>
      </c>
      <c r="I95" t="s">
        <v>881</v>
      </c>
      <c r="J95">
        <v>1</v>
      </c>
      <c r="K95" t="s">
        <v>862</v>
      </c>
      <c r="L95" t="s">
        <v>863</v>
      </c>
      <c r="M95">
        <v>1</v>
      </c>
      <c r="N95" t="s">
        <v>864</v>
      </c>
      <c r="O95">
        <f t="shared" si="1"/>
        <v>4</v>
      </c>
      <c r="P95" t="s">
        <v>878</v>
      </c>
      <c r="Q95" t="s">
        <v>866</v>
      </c>
      <c r="R95" s="2"/>
    </row>
    <row r="96" spans="1:18">
      <c r="A96">
        <v>92</v>
      </c>
      <c r="B96" t="s">
        <v>261</v>
      </c>
      <c r="C96" t="s">
        <v>259</v>
      </c>
      <c r="D96" t="s">
        <v>266</v>
      </c>
      <c r="F96" t="s">
        <v>882</v>
      </c>
      <c r="G96" t="s">
        <v>883</v>
      </c>
      <c r="H96">
        <v>3</v>
      </c>
      <c r="I96" t="s">
        <v>884</v>
      </c>
      <c r="J96">
        <v>1</v>
      </c>
      <c r="K96" t="s">
        <v>862</v>
      </c>
      <c r="L96" t="s">
        <v>863</v>
      </c>
      <c r="M96">
        <v>1</v>
      </c>
      <c r="N96" t="s">
        <v>864</v>
      </c>
      <c r="O96">
        <f t="shared" si="1"/>
        <v>3</v>
      </c>
      <c r="P96" t="s">
        <v>878</v>
      </c>
      <c r="Q96" t="s">
        <v>866</v>
      </c>
      <c r="R96" s="2"/>
    </row>
    <row r="97" spans="1:18">
      <c r="A97">
        <v>93</v>
      </c>
      <c r="B97" t="s">
        <v>261</v>
      </c>
      <c r="C97" t="s">
        <v>259</v>
      </c>
      <c r="D97" t="s">
        <v>267</v>
      </c>
      <c r="F97" t="s">
        <v>885</v>
      </c>
      <c r="G97" t="s">
        <v>886</v>
      </c>
      <c r="H97">
        <v>5</v>
      </c>
      <c r="I97" t="s">
        <v>887</v>
      </c>
      <c r="J97">
        <v>1</v>
      </c>
      <c r="K97" t="s">
        <v>862</v>
      </c>
      <c r="L97" t="s">
        <v>863</v>
      </c>
      <c r="M97">
        <v>1</v>
      </c>
      <c r="N97" t="s">
        <v>864</v>
      </c>
      <c r="O97">
        <f t="shared" si="1"/>
        <v>5</v>
      </c>
      <c r="P97" t="s">
        <v>888</v>
      </c>
      <c r="Q97" t="s">
        <v>866</v>
      </c>
      <c r="R97" s="2"/>
    </row>
    <row r="98" spans="1:18">
      <c r="A98">
        <v>94</v>
      </c>
      <c r="B98" t="s">
        <v>268</v>
      </c>
      <c r="C98" t="s">
        <v>269</v>
      </c>
      <c r="D98" t="s">
        <v>270</v>
      </c>
      <c r="F98" t="s">
        <v>889</v>
      </c>
      <c r="G98" t="s">
        <v>890</v>
      </c>
      <c r="H98">
        <v>3</v>
      </c>
      <c r="I98" t="s">
        <v>891</v>
      </c>
      <c r="J98">
        <v>1</v>
      </c>
      <c r="K98" t="s">
        <v>862</v>
      </c>
      <c r="L98" t="s">
        <v>863</v>
      </c>
      <c r="M98">
        <v>1</v>
      </c>
      <c r="N98" t="s">
        <v>864</v>
      </c>
      <c r="O98">
        <f t="shared" si="1"/>
        <v>3</v>
      </c>
      <c r="P98" t="s">
        <v>878</v>
      </c>
      <c r="Q98" t="s">
        <v>866</v>
      </c>
      <c r="R98" s="2"/>
    </row>
    <row r="99" spans="1:18">
      <c r="A99">
        <v>95</v>
      </c>
      <c r="B99" t="s">
        <v>268</v>
      </c>
      <c r="C99" t="s">
        <v>269</v>
      </c>
      <c r="D99" t="s">
        <v>271</v>
      </c>
      <c r="F99" t="s">
        <v>892</v>
      </c>
      <c r="G99" t="s">
        <v>890</v>
      </c>
      <c r="H99">
        <v>3</v>
      </c>
      <c r="I99" t="s">
        <v>891</v>
      </c>
      <c r="J99">
        <v>1</v>
      </c>
      <c r="K99" t="s">
        <v>862</v>
      </c>
      <c r="L99" t="s">
        <v>863</v>
      </c>
      <c r="M99">
        <v>1</v>
      </c>
      <c r="N99" t="s">
        <v>864</v>
      </c>
      <c r="O99">
        <f t="shared" si="1"/>
        <v>3</v>
      </c>
      <c r="P99" t="s">
        <v>878</v>
      </c>
      <c r="Q99" t="s">
        <v>866</v>
      </c>
      <c r="R99" s="2"/>
    </row>
    <row r="100" spans="1:18">
      <c r="A100">
        <v>96</v>
      </c>
      <c r="B100" t="s">
        <v>268</v>
      </c>
      <c r="C100" t="s">
        <v>269</v>
      </c>
      <c r="D100" t="s">
        <v>272</v>
      </c>
      <c r="F100" t="s">
        <v>893</v>
      </c>
      <c r="G100" t="s">
        <v>894</v>
      </c>
      <c r="H100">
        <v>3</v>
      </c>
      <c r="I100" t="s">
        <v>895</v>
      </c>
      <c r="J100">
        <v>1</v>
      </c>
      <c r="K100" t="s">
        <v>862</v>
      </c>
      <c r="L100" t="s">
        <v>863</v>
      </c>
      <c r="M100">
        <v>1</v>
      </c>
      <c r="N100" t="s">
        <v>864</v>
      </c>
      <c r="O100">
        <f t="shared" si="1"/>
        <v>3</v>
      </c>
      <c r="P100" t="s">
        <v>878</v>
      </c>
      <c r="Q100" t="s">
        <v>866</v>
      </c>
      <c r="R100" s="2"/>
    </row>
    <row r="101" spans="1:18">
      <c r="A101">
        <v>97</v>
      </c>
      <c r="B101" t="s">
        <v>268</v>
      </c>
      <c r="C101" t="s">
        <v>269</v>
      </c>
      <c r="D101" t="s">
        <v>273</v>
      </c>
      <c r="F101" t="s">
        <v>896</v>
      </c>
      <c r="G101" t="s">
        <v>897</v>
      </c>
      <c r="H101">
        <v>5</v>
      </c>
      <c r="I101" t="s">
        <v>895</v>
      </c>
      <c r="J101">
        <v>1</v>
      </c>
      <c r="K101" t="s">
        <v>862</v>
      </c>
      <c r="L101" t="s">
        <v>863</v>
      </c>
      <c r="M101">
        <v>1</v>
      </c>
      <c r="N101" t="s">
        <v>864</v>
      </c>
      <c r="O101">
        <f t="shared" si="1"/>
        <v>5</v>
      </c>
      <c r="P101" t="s">
        <v>878</v>
      </c>
      <c r="Q101" t="s">
        <v>898</v>
      </c>
      <c r="R101" s="2"/>
    </row>
    <row r="102" spans="1:18">
      <c r="A102">
        <v>98</v>
      </c>
      <c r="B102" t="s">
        <v>274</v>
      </c>
      <c r="C102" t="s">
        <v>275</v>
      </c>
      <c r="D102" t="s">
        <v>276</v>
      </c>
      <c r="F102" t="s">
        <v>899</v>
      </c>
      <c r="G102" t="s">
        <v>900</v>
      </c>
      <c r="H102">
        <v>5</v>
      </c>
      <c r="I102" t="s">
        <v>901</v>
      </c>
      <c r="J102">
        <v>2</v>
      </c>
      <c r="K102" t="s">
        <v>902</v>
      </c>
      <c r="L102" t="s">
        <v>193</v>
      </c>
      <c r="M102">
        <v>1</v>
      </c>
      <c r="N102" t="s">
        <v>518</v>
      </c>
      <c r="O102">
        <f t="shared" si="1"/>
        <v>10</v>
      </c>
      <c r="P102" t="s">
        <v>493</v>
      </c>
      <c r="Q102" t="s">
        <v>903</v>
      </c>
      <c r="R102" s="3"/>
    </row>
    <row r="103" spans="1:18">
      <c r="A103">
        <v>99</v>
      </c>
      <c r="B103" t="s">
        <v>274</v>
      </c>
      <c r="C103" t="s">
        <v>275</v>
      </c>
      <c r="D103" t="s">
        <v>277</v>
      </c>
      <c r="F103" t="s">
        <v>904</v>
      </c>
      <c r="G103" t="s">
        <v>905</v>
      </c>
      <c r="H103">
        <v>5</v>
      </c>
      <c r="I103" t="s">
        <v>906</v>
      </c>
      <c r="J103">
        <v>1</v>
      </c>
      <c r="K103" t="s">
        <v>907</v>
      </c>
      <c r="L103" t="s">
        <v>908</v>
      </c>
      <c r="M103">
        <v>1</v>
      </c>
      <c r="N103" t="s">
        <v>909</v>
      </c>
      <c r="O103">
        <f t="shared" si="1"/>
        <v>5</v>
      </c>
      <c r="P103" t="s">
        <v>910</v>
      </c>
      <c r="Q103" t="s">
        <v>911</v>
      </c>
      <c r="R103" s="3"/>
    </row>
  </sheetData>
  <phoneticPr fontId="18" type="noConversion"/>
  <hyperlinks>
    <hyperlink ref="H2" r:id="rId1" xr:uid="{CE6F8FA8-6144-4CA3-A869-79F891C79691}"/>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40F35-4B61-4DD0-9C6A-429CFF9774D7}">
  <dimension ref="A1:R103"/>
  <sheetViews>
    <sheetView workbookViewId="0"/>
  </sheetViews>
  <sheetFormatPr defaultRowHeight="13.9"/>
  <sheetData>
    <row r="1" spans="1:18">
      <c r="B1" t="s">
        <v>278</v>
      </c>
    </row>
    <row r="2" spans="1:18">
      <c r="B2" t="s">
        <v>279</v>
      </c>
      <c r="C2" t="s">
        <v>2</v>
      </c>
      <c r="D2" t="s">
        <v>280</v>
      </c>
      <c r="G2" t="s">
        <v>281</v>
      </c>
      <c r="H2" t="s">
        <v>117</v>
      </c>
    </row>
    <row r="3" spans="1:18">
      <c r="A3" t="s">
        <v>118</v>
      </c>
      <c r="B3" t="s">
        <v>86</v>
      </c>
      <c r="C3" t="s">
        <v>88</v>
      </c>
      <c r="D3" t="s">
        <v>282</v>
      </c>
      <c r="E3" t="s">
        <v>283</v>
      </c>
      <c r="F3" t="s">
        <v>284</v>
      </c>
      <c r="H3" t="s">
        <v>48</v>
      </c>
      <c r="I3" t="s">
        <v>285</v>
      </c>
      <c r="J3" t="s">
        <v>286</v>
      </c>
      <c r="K3" t="s">
        <v>287</v>
      </c>
      <c r="L3" t="s">
        <v>288</v>
      </c>
      <c r="M3" t="s">
        <v>57</v>
      </c>
      <c r="N3" t="s">
        <v>289</v>
      </c>
      <c r="O3" t="s">
        <v>109</v>
      </c>
      <c r="P3" t="s">
        <v>290</v>
      </c>
      <c r="Q3" t="s">
        <v>291</v>
      </c>
      <c r="R3" t="s">
        <v>292</v>
      </c>
    </row>
    <row r="4" spans="1:18">
      <c r="F4" t="s">
        <v>293</v>
      </c>
      <c r="G4" t="s">
        <v>294</v>
      </c>
    </row>
    <row r="5" spans="1:18">
      <c r="A5">
        <v>1</v>
      </c>
      <c r="B5" t="s">
        <v>295</v>
      </c>
      <c r="C5" t="s">
        <v>296</v>
      </c>
      <c r="D5" t="s">
        <v>297</v>
      </c>
      <c r="E5" t="s">
        <v>298</v>
      </c>
      <c r="F5" t="s">
        <v>299</v>
      </c>
      <c r="G5" t="s">
        <v>300</v>
      </c>
      <c r="H5">
        <v>5</v>
      </c>
      <c r="I5" t="s">
        <v>301</v>
      </c>
      <c r="J5">
        <v>2</v>
      </c>
      <c r="K5" t="s">
        <v>302</v>
      </c>
      <c r="L5" t="s">
        <v>303</v>
      </c>
      <c r="M5">
        <v>1</v>
      </c>
      <c r="N5" t="s">
        <v>304</v>
      </c>
      <c r="O5">
        <f>H5*J5*M5</f>
        <v>10</v>
      </c>
      <c r="P5" t="s">
        <v>305</v>
      </c>
      <c r="Q5" t="s">
        <v>306</v>
      </c>
    </row>
    <row r="6" spans="1:18">
      <c r="A6">
        <v>2</v>
      </c>
      <c r="B6" t="s">
        <v>295</v>
      </c>
      <c r="C6" t="s">
        <v>296</v>
      </c>
      <c r="D6" t="s">
        <v>307</v>
      </c>
      <c r="O6">
        <f t="shared" ref="O6:O69" si="0">H6*J6*M6</f>
        <v>0</v>
      </c>
    </row>
    <row r="7" spans="1:18">
      <c r="A7">
        <v>3</v>
      </c>
      <c r="B7" t="s">
        <v>295</v>
      </c>
      <c r="C7" t="s">
        <v>296</v>
      </c>
      <c r="D7" t="s">
        <v>308</v>
      </c>
      <c r="O7">
        <f t="shared" si="0"/>
        <v>0</v>
      </c>
    </row>
    <row r="8" spans="1:18">
      <c r="A8">
        <v>4</v>
      </c>
      <c r="B8" t="s">
        <v>309</v>
      </c>
      <c r="C8" t="s">
        <v>310</v>
      </c>
      <c r="D8" t="s">
        <v>311</v>
      </c>
      <c r="O8">
        <f t="shared" si="0"/>
        <v>0</v>
      </c>
    </row>
    <row r="9" spans="1:18">
      <c r="A9">
        <v>5</v>
      </c>
      <c r="B9" t="s">
        <v>312</v>
      </c>
      <c r="C9" t="s">
        <v>313</v>
      </c>
      <c r="D9" t="s">
        <v>314</v>
      </c>
      <c r="O9">
        <f t="shared" si="0"/>
        <v>0</v>
      </c>
    </row>
    <row r="10" spans="1:18">
      <c r="A10">
        <v>6</v>
      </c>
      <c r="B10" t="s">
        <v>312</v>
      </c>
      <c r="C10" t="s">
        <v>313</v>
      </c>
      <c r="D10" t="s">
        <v>315</v>
      </c>
      <c r="O10">
        <f t="shared" si="0"/>
        <v>0</v>
      </c>
    </row>
    <row r="11" spans="1:18">
      <c r="A11">
        <v>7</v>
      </c>
      <c r="B11" t="s">
        <v>312</v>
      </c>
      <c r="C11" t="s">
        <v>313</v>
      </c>
      <c r="D11" t="s">
        <v>316</v>
      </c>
      <c r="O11">
        <f t="shared" si="0"/>
        <v>0</v>
      </c>
    </row>
    <row r="12" spans="1:18">
      <c r="A12">
        <v>8</v>
      </c>
      <c r="B12" t="s">
        <v>312</v>
      </c>
      <c r="C12" t="s">
        <v>313</v>
      </c>
      <c r="D12" t="s">
        <v>317</v>
      </c>
      <c r="O12">
        <f t="shared" si="0"/>
        <v>0</v>
      </c>
    </row>
    <row r="13" spans="1:18">
      <c r="A13">
        <v>9</v>
      </c>
      <c r="B13" t="s">
        <v>312</v>
      </c>
      <c r="C13" t="s">
        <v>313</v>
      </c>
      <c r="D13" t="s">
        <v>318</v>
      </c>
      <c r="O13">
        <f t="shared" si="0"/>
        <v>0</v>
      </c>
    </row>
    <row r="14" spans="1:18">
      <c r="A14">
        <v>10</v>
      </c>
      <c r="B14" t="s">
        <v>312</v>
      </c>
      <c r="C14" t="s">
        <v>313</v>
      </c>
      <c r="D14" t="s">
        <v>319</v>
      </c>
      <c r="O14">
        <f t="shared" si="0"/>
        <v>0</v>
      </c>
    </row>
    <row r="15" spans="1:18">
      <c r="A15">
        <v>11</v>
      </c>
      <c r="B15" t="s">
        <v>312</v>
      </c>
      <c r="C15" t="s">
        <v>313</v>
      </c>
      <c r="D15" t="s">
        <v>320</v>
      </c>
      <c r="O15">
        <f t="shared" si="0"/>
        <v>0</v>
      </c>
    </row>
    <row r="16" spans="1:18">
      <c r="A16">
        <v>12</v>
      </c>
      <c r="B16" t="s">
        <v>312</v>
      </c>
      <c r="C16" t="s">
        <v>313</v>
      </c>
      <c r="D16" t="s">
        <v>321</v>
      </c>
      <c r="O16">
        <f t="shared" si="0"/>
        <v>0</v>
      </c>
    </row>
    <row r="17" spans="1:15">
      <c r="A17">
        <v>13</v>
      </c>
      <c r="B17" t="s">
        <v>322</v>
      </c>
      <c r="C17" t="s">
        <v>323</v>
      </c>
      <c r="D17" t="s">
        <v>324</v>
      </c>
      <c r="O17">
        <f t="shared" si="0"/>
        <v>0</v>
      </c>
    </row>
    <row r="18" spans="1:15">
      <c r="A18">
        <v>14</v>
      </c>
      <c r="B18" t="s">
        <v>322</v>
      </c>
      <c r="C18" t="s">
        <v>325</v>
      </c>
      <c r="D18" t="s">
        <v>326</v>
      </c>
      <c r="O18">
        <f t="shared" si="0"/>
        <v>0</v>
      </c>
    </row>
    <row r="19" spans="1:15">
      <c r="A19">
        <v>15</v>
      </c>
      <c r="B19" t="s">
        <v>322</v>
      </c>
      <c r="C19" t="s">
        <v>325</v>
      </c>
      <c r="D19" t="s">
        <v>327</v>
      </c>
      <c r="O19">
        <f t="shared" si="0"/>
        <v>0</v>
      </c>
    </row>
    <row r="20" spans="1:15">
      <c r="A20">
        <v>16</v>
      </c>
      <c r="B20" t="s">
        <v>322</v>
      </c>
      <c r="C20" t="s">
        <v>325</v>
      </c>
      <c r="D20" t="s">
        <v>328</v>
      </c>
      <c r="O20">
        <f t="shared" si="0"/>
        <v>0</v>
      </c>
    </row>
    <row r="21" spans="1:15">
      <c r="A21">
        <v>17</v>
      </c>
      <c r="B21" t="s">
        <v>322</v>
      </c>
      <c r="C21" t="s">
        <v>325</v>
      </c>
      <c r="D21" t="s">
        <v>329</v>
      </c>
      <c r="O21">
        <f t="shared" si="0"/>
        <v>0</v>
      </c>
    </row>
    <row r="22" spans="1:15">
      <c r="A22">
        <v>18</v>
      </c>
      <c r="B22" t="s">
        <v>322</v>
      </c>
      <c r="C22" t="s">
        <v>325</v>
      </c>
      <c r="D22" t="s">
        <v>330</v>
      </c>
      <c r="O22">
        <f t="shared" si="0"/>
        <v>0</v>
      </c>
    </row>
    <row r="23" spans="1:15">
      <c r="A23">
        <v>19</v>
      </c>
      <c r="B23" t="s">
        <v>322</v>
      </c>
      <c r="C23" t="s">
        <v>325</v>
      </c>
      <c r="D23" t="s">
        <v>331</v>
      </c>
      <c r="O23">
        <f t="shared" si="0"/>
        <v>0</v>
      </c>
    </row>
    <row r="24" spans="1:15">
      <c r="A24">
        <v>20</v>
      </c>
      <c r="B24" t="s">
        <v>332</v>
      </c>
      <c r="C24" t="s">
        <v>333</v>
      </c>
      <c r="D24" t="s">
        <v>334</v>
      </c>
      <c r="O24">
        <f t="shared" si="0"/>
        <v>0</v>
      </c>
    </row>
    <row r="25" spans="1:15">
      <c r="A25">
        <v>21</v>
      </c>
      <c r="B25" t="s">
        <v>332</v>
      </c>
      <c r="C25" t="s">
        <v>333</v>
      </c>
      <c r="D25" t="s">
        <v>335</v>
      </c>
      <c r="O25">
        <f t="shared" si="0"/>
        <v>0</v>
      </c>
    </row>
    <row r="26" spans="1:15">
      <c r="A26">
        <v>22</v>
      </c>
      <c r="B26" t="s">
        <v>332</v>
      </c>
      <c r="C26" t="s">
        <v>333</v>
      </c>
      <c r="D26" t="s">
        <v>336</v>
      </c>
      <c r="O26">
        <f t="shared" si="0"/>
        <v>0</v>
      </c>
    </row>
    <row r="27" spans="1:15">
      <c r="A27">
        <v>23</v>
      </c>
      <c r="B27" t="s">
        <v>332</v>
      </c>
      <c r="C27" t="s">
        <v>333</v>
      </c>
      <c r="D27" t="s">
        <v>337</v>
      </c>
      <c r="O27">
        <f t="shared" si="0"/>
        <v>0</v>
      </c>
    </row>
    <row r="28" spans="1:15">
      <c r="A28">
        <v>24</v>
      </c>
      <c r="B28" t="s">
        <v>338</v>
      </c>
      <c r="C28" t="s">
        <v>339</v>
      </c>
      <c r="D28" t="s">
        <v>340</v>
      </c>
      <c r="O28">
        <f t="shared" si="0"/>
        <v>0</v>
      </c>
    </row>
    <row r="29" spans="1:15">
      <c r="A29">
        <v>25</v>
      </c>
      <c r="B29" t="s">
        <v>338</v>
      </c>
      <c r="C29" t="s">
        <v>339</v>
      </c>
      <c r="D29" t="s">
        <v>341</v>
      </c>
      <c r="O29">
        <f t="shared" si="0"/>
        <v>0</v>
      </c>
    </row>
    <row r="30" spans="1:15">
      <c r="A30">
        <v>26</v>
      </c>
      <c r="B30" t="s">
        <v>342</v>
      </c>
      <c r="C30" t="s">
        <v>339</v>
      </c>
      <c r="D30" t="s">
        <v>343</v>
      </c>
      <c r="O30">
        <f t="shared" si="0"/>
        <v>0</v>
      </c>
    </row>
    <row r="31" spans="1:15">
      <c r="A31">
        <v>27</v>
      </c>
      <c r="B31" t="s">
        <v>344</v>
      </c>
      <c r="C31" t="s">
        <v>345</v>
      </c>
      <c r="D31" t="s">
        <v>346</v>
      </c>
      <c r="O31">
        <f t="shared" si="0"/>
        <v>0</v>
      </c>
    </row>
    <row r="32" spans="1:15">
      <c r="A32">
        <v>28</v>
      </c>
      <c r="B32" t="s">
        <v>344</v>
      </c>
      <c r="C32" t="s">
        <v>345</v>
      </c>
      <c r="D32" t="s">
        <v>347</v>
      </c>
      <c r="O32">
        <f t="shared" si="0"/>
        <v>0</v>
      </c>
    </row>
    <row r="33" spans="1:15">
      <c r="A33">
        <v>29</v>
      </c>
      <c r="B33" t="s">
        <v>348</v>
      </c>
      <c r="C33" t="s">
        <v>345</v>
      </c>
      <c r="D33" t="s">
        <v>349</v>
      </c>
      <c r="O33">
        <f t="shared" si="0"/>
        <v>0</v>
      </c>
    </row>
    <row r="34" spans="1:15">
      <c r="A34">
        <v>30</v>
      </c>
      <c r="B34" t="s">
        <v>350</v>
      </c>
      <c r="C34" t="s">
        <v>351</v>
      </c>
      <c r="D34" t="s">
        <v>352</v>
      </c>
      <c r="O34">
        <f t="shared" si="0"/>
        <v>0</v>
      </c>
    </row>
    <row r="35" spans="1:15">
      <c r="A35">
        <v>31</v>
      </c>
      <c r="B35" t="s">
        <v>350</v>
      </c>
      <c r="C35" t="s">
        <v>351</v>
      </c>
      <c r="D35" t="s">
        <v>353</v>
      </c>
      <c r="O35">
        <f t="shared" si="0"/>
        <v>0</v>
      </c>
    </row>
    <row r="36" spans="1:15">
      <c r="A36">
        <v>32</v>
      </c>
      <c r="B36" t="s">
        <v>350</v>
      </c>
      <c r="C36" t="s">
        <v>351</v>
      </c>
      <c r="D36" t="s">
        <v>354</v>
      </c>
      <c r="O36">
        <f t="shared" si="0"/>
        <v>0</v>
      </c>
    </row>
    <row r="37" spans="1:15">
      <c r="A37">
        <v>33</v>
      </c>
      <c r="B37" t="s">
        <v>350</v>
      </c>
      <c r="C37" t="s">
        <v>355</v>
      </c>
      <c r="D37" t="s">
        <v>320</v>
      </c>
      <c r="O37">
        <f t="shared" si="0"/>
        <v>0</v>
      </c>
    </row>
    <row r="38" spans="1:15">
      <c r="A38">
        <v>34</v>
      </c>
      <c r="B38" t="s">
        <v>356</v>
      </c>
      <c r="C38" t="s">
        <v>357</v>
      </c>
      <c r="D38" t="s">
        <v>358</v>
      </c>
      <c r="O38">
        <f t="shared" si="0"/>
        <v>0</v>
      </c>
    </row>
    <row r="39" spans="1:15">
      <c r="A39">
        <v>35</v>
      </c>
      <c r="B39" t="s">
        <v>359</v>
      </c>
      <c r="C39" t="s">
        <v>360</v>
      </c>
      <c r="D39" t="s">
        <v>361</v>
      </c>
      <c r="O39">
        <f t="shared" si="0"/>
        <v>0</v>
      </c>
    </row>
    <row r="40" spans="1:15">
      <c r="A40">
        <v>36</v>
      </c>
      <c r="B40" t="s">
        <v>359</v>
      </c>
      <c r="C40" t="s">
        <v>360</v>
      </c>
      <c r="D40" t="s">
        <v>362</v>
      </c>
      <c r="O40">
        <f t="shared" si="0"/>
        <v>0</v>
      </c>
    </row>
    <row r="41" spans="1:15">
      <c r="A41">
        <v>37</v>
      </c>
      <c r="B41" t="s">
        <v>359</v>
      </c>
      <c r="C41" t="s">
        <v>360</v>
      </c>
      <c r="D41" t="s">
        <v>363</v>
      </c>
      <c r="O41">
        <f t="shared" si="0"/>
        <v>0</v>
      </c>
    </row>
    <row r="42" spans="1:15">
      <c r="A42">
        <v>38</v>
      </c>
      <c r="B42" t="s">
        <v>359</v>
      </c>
      <c r="C42" t="s">
        <v>360</v>
      </c>
      <c r="D42" t="s">
        <v>364</v>
      </c>
      <c r="O42">
        <f t="shared" si="0"/>
        <v>0</v>
      </c>
    </row>
    <row r="43" spans="1:15">
      <c r="A43">
        <v>39</v>
      </c>
      <c r="B43" t="s">
        <v>359</v>
      </c>
      <c r="C43" t="s">
        <v>360</v>
      </c>
      <c r="D43" t="s">
        <v>365</v>
      </c>
      <c r="O43">
        <f t="shared" si="0"/>
        <v>0</v>
      </c>
    </row>
    <row r="44" spans="1:15">
      <c r="A44">
        <v>40</v>
      </c>
      <c r="B44" t="s">
        <v>359</v>
      </c>
      <c r="C44" t="s">
        <v>360</v>
      </c>
      <c r="D44" t="s">
        <v>366</v>
      </c>
      <c r="O44">
        <f t="shared" si="0"/>
        <v>0</v>
      </c>
    </row>
    <row r="45" spans="1:15">
      <c r="A45">
        <v>41</v>
      </c>
      <c r="B45" t="s">
        <v>367</v>
      </c>
      <c r="C45" t="s">
        <v>368</v>
      </c>
      <c r="D45" t="s">
        <v>369</v>
      </c>
      <c r="O45">
        <f t="shared" si="0"/>
        <v>0</v>
      </c>
    </row>
    <row r="46" spans="1:15">
      <c r="A46">
        <v>42</v>
      </c>
      <c r="B46" t="s">
        <v>367</v>
      </c>
      <c r="C46" t="s">
        <v>370</v>
      </c>
      <c r="D46" t="s">
        <v>371</v>
      </c>
      <c r="O46">
        <f t="shared" si="0"/>
        <v>0</v>
      </c>
    </row>
    <row r="47" spans="1:15">
      <c r="A47">
        <v>43</v>
      </c>
      <c r="B47" t="s">
        <v>367</v>
      </c>
      <c r="C47" t="s">
        <v>370</v>
      </c>
      <c r="D47" t="s">
        <v>372</v>
      </c>
      <c r="O47">
        <f t="shared" si="0"/>
        <v>0</v>
      </c>
    </row>
    <row r="48" spans="1:15">
      <c r="A48">
        <v>44</v>
      </c>
      <c r="B48" t="s">
        <v>367</v>
      </c>
      <c r="C48" t="s">
        <v>370</v>
      </c>
      <c r="D48" t="s">
        <v>373</v>
      </c>
      <c r="O48">
        <f t="shared" si="0"/>
        <v>0</v>
      </c>
    </row>
    <row r="49" spans="1:15">
      <c r="A49">
        <v>45</v>
      </c>
      <c r="B49" t="s">
        <v>367</v>
      </c>
      <c r="C49" t="s">
        <v>370</v>
      </c>
      <c r="D49" t="s">
        <v>374</v>
      </c>
      <c r="O49">
        <f t="shared" si="0"/>
        <v>0</v>
      </c>
    </row>
    <row r="50" spans="1:15">
      <c r="A50">
        <v>46</v>
      </c>
      <c r="B50" t="s">
        <v>367</v>
      </c>
      <c r="C50" t="s">
        <v>370</v>
      </c>
      <c r="D50" t="s">
        <v>375</v>
      </c>
      <c r="O50">
        <f t="shared" si="0"/>
        <v>0</v>
      </c>
    </row>
    <row r="51" spans="1:15">
      <c r="A51">
        <v>47</v>
      </c>
      <c r="B51" t="s">
        <v>367</v>
      </c>
      <c r="C51" t="s">
        <v>370</v>
      </c>
      <c r="D51" t="s">
        <v>376</v>
      </c>
      <c r="O51">
        <f t="shared" si="0"/>
        <v>0</v>
      </c>
    </row>
    <row r="52" spans="1:15">
      <c r="A52">
        <v>48</v>
      </c>
      <c r="B52" t="s">
        <v>367</v>
      </c>
      <c r="C52" t="s">
        <v>370</v>
      </c>
      <c r="D52" t="s">
        <v>377</v>
      </c>
      <c r="O52">
        <f t="shared" si="0"/>
        <v>0</v>
      </c>
    </row>
    <row r="53" spans="1:15">
      <c r="A53">
        <v>49</v>
      </c>
      <c r="B53" t="s">
        <v>367</v>
      </c>
      <c r="C53" t="s">
        <v>370</v>
      </c>
      <c r="D53" t="s">
        <v>378</v>
      </c>
      <c r="O53">
        <f t="shared" si="0"/>
        <v>0</v>
      </c>
    </row>
    <row r="54" spans="1:15">
      <c r="A54">
        <v>50</v>
      </c>
      <c r="B54" t="s">
        <v>367</v>
      </c>
      <c r="C54" t="s">
        <v>370</v>
      </c>
      <c r="D54" t="s">
        <v>379</v>
      </c>
      <c r="O54">
        <f t="shared" si="0"/>
        <v>0</v>
      </c>
    </row>
    <row r="55" spans="1:15">
      <c r="A55">
        <v>51</v>
      </c>
      <c r="B55" t="s">
        <v>367</v>
      </c>
      <c r="C55" t="s">
        <v>370</v>
      </c>
      <c r="D55" t="s">
        <v>380</v>
      </c>
      <c r="O55">
        <f t="shared" si="0"/>
        <v>0</v>
      </c>
    </row>
    <row r="56" spans="1:15">
      <c r="A56">
        <v>52</v>
      </c>
      <c r="B56" t="s">
        <v>367</v>
      </c>
      <c r="C56" t="s">
        <v>370</v>
      </c>
      <c r="D56" t="s">
        <v>381</v>
      </c>
      <c r="O56">
        <f t="shared" si="0"/>
        <v>0</v>
      </c>
    </row>
    <row r="57" spans="1:15">
      <c r="A57">
        <v>53</v>
      </c>
      <c r="B57" t="s">
        <v>367</v>
      </c>
      <c r="C57" t="s">
        <v>370</v>
      </c>
      <c r="D57" t="s">
        <v>382</v>
      </c>
      <c r="O57">
        <f t="shared" si="0"/>
        <v>0</v>
      </c>
    </row>
    <row r="58" spans="1:15">
      <c r="A58">
        <v>54</v>
      </c>
      <c r="B58" t="s">
        <v>367</v>
      </c>
      <c r="C58" t="s">
        <v>370</v>
      </c>
      <c r="D58" t="s">
        <v>383</v>
      </c>
      <c r="O58">
        <f t="shared" si="0"/>
        <v>0</v>
      </c>
    </row>
    <row r="59" spans="1:15">
      <c r="A59">
        <v>55</v>
      </c>
      <c r="B59" t="s">
        <v>384</v>
      </c>
      <c r="C59" t="s">
        <v>385</v>
      </c>
      <c r="D59" t="s">
        <v>386</v>
      </c>
      <c r="O59">
        <f t="shared" si="0"/>
        <v>0</v>
      </c>
    </row>
    <row r="60" spans="1:15">
      <c r="A60">
        <v>56</v>
      </c>
      <c r="B60" t="s">
        <v>384</v>
      </c>
      <c r="C60" t="s">
        <v>385</v>
      </c>
      <c r="D60" t="s">
        <v>387</v>
      </c>
      <c r="O60">
        <f t="shared" si="0"/>
        <v>0</v>
      </c>
    </row>
    <row r="61" spans="1:15">
      <c r="A61">
        <v>57</v>
      </c>
      <c r="B61" t="s">
        <v>384</v>
      </c>
      <c r="C61" t="s">
        <v>385</v>
      </c>
      <c r="D61" t="s">
        <v>388</v>
      </c>
      <c r="O61">
        <f t="shared" si="0"/>
        <v>0</v>
      </c>
    </row>
    <row r="62" spans="1:15">
      <c r="A62">
        <v>58</v>
      </c>
      <c r="B62" t="s">
        <v>384</v>
      </c>
      <c r="C62" t="s">
        <v>385</v>
      </c>
      <c r="D62" t="s">
        <v>389</v>
      </c>
      <c r="O62">
        <f t="shared" si="0"/>
        <v>0</v>
      </c>
    </row>
    <row r="63" spans="1:15">
      <c r="A63">
        <v>59</v>
      </c>
      <c r="B63" t="s">
        <v>390</v>
      </c>
      <c r="C63" t="s">
        <v>391</v>
      </c>
      <c r="D63" t="s">
        <v>392</v>
      </c>
      <c r="O63">
        <f t="shared" si="0"/>
        <v>0</v>
      </c>
    </row>
    <row r="64" spans="1:15">
      <c r="A64">
        <v>60</v>
      </c>
      <c r="B64" t="s">
        <v>390</v>
      </c>
      <c r="C64" t="s">
        <v>391</v>
      </c>
      <c r="D64" t="s">
        <v>393</v>
      </c>
      <c r="O64">
        <f t="shared" si="0"/>
        <v>0</v>
      </c>
    </row>
    <row r="65" spans="1:15">
      <c r="A65">
        <v>61</v>
      </c>
      <c r="B65" t="s">
        <v>394</v>
      </c>
      <c r="C65" t="s">
        <v>395</v>
      </c>
      <c r="D65" t="s">
        <v>396</v>
      </c>
      <c r="O65">
        <f t="shared" si="0"/>
        <v>0</v>
      </c>
    </row>
    <row r="66" spans="1:15">
      <c r="A66">
        <v>62</v>
      </c>
      <c r="B66" t="s">
        <v>397</v>
      </c>
      <c r="C66" t="s">
        <v>398</v>
      </c>
      <c r="D66" t="s">
        <v>399</v>
      </c>
      <c r="O66">
        <f t="shared" si="0"/>
        <v>0</v>
      </c>
    </row>
    <row r="67" spans="1:15">
      <c r="A67">
        <v>63</v>
      </c>
      <c r="B67" t="s">
        <v>397</v>
      </c>
      <c r="C67" t="s">
        <v>398</v>
      </c>
      <c r="D67" t="s">
        <v>400</v>
      </c>
      <c r="O67">
        <f t="shared" si="0"/>
        <v>0</v>
      </c>
    </row>
    <row r="68" spans="1:15">
      <c r="A68">
        <v>64</v>
      </c>
      <c r="B68" t="s">
        <v>397</v>
      </c>
      <c r="C68" t="s">
        <v>398</v>
      </c>
      <c r="D68" t="s">
        <v>401</v>
      </c>
      <c r="O68">
        <f t="shared" si="0"/>
        <v>0</v>
      </c>
    </row>
    <row r="69" spans="1:15">
      <c r="A69">
        <v>65</v>
      </c>
      <c r="B69" t="s">
        <v>397</v>
      </c>
      <c r="C69" t="s">
        <v>398</v>
      </c>
      <c r="D69" t="s">
        <v>402</v>
      </c>
      <c r="O69">
        <f t="shared" si="0"/>
        <v>0</v>
      </c>
    </row>
    <row r="70" spans="1:15">
      <c r="A70">
        <v>66</v>
      </c>
      <c r="B70" t="s">
        <v>397</v>
      </c>
      <c r="C70" t="s">
        <v>398</v>
      </c>
      <c r="D70" t="s">
        <v>403</v>
      </c>
      <c r="O70">
        <f t="shared" ref="O70:O103" si="1">H70*J70*M70</f>
        <v>0</v>
      </c>
    </row>
    <row r="71" spans="1:15">
      <c r="A71">
        <v>67</v>
      </c>
      <c r="B71" t="s">
        <v>397</v>
      </c>
      <c r="C71" t="s">
        <v>398</v>
      </c>
      <c r="D71" t="s">
        <v>404</v>
      </c>
      <c r="O71">
        <f t="shared" si="1"/>
        <v>0</v>
      </c>
    </row>
    <row r="72" spans="1:15">
      <c r="A72">
        <v>68</v>
      </c>
      <c r="B72" t="s">
        <v>397</v>
      </c>
      <c r="C72" t="s">
        <v>398</v>
      </c>
      <c r="D72" t="s">
        <v>405</v>
      </c>
      <c r="O72">
        <f t="shared" si="1"/>
        <v>0</v>
      </c>
    </row>
    <row r="73" spans="1:15">
      <c r="A73">
        <v>69</v>
      </c>
      <c r="B73" t="s">
        <v>397</v>
      </c>
      <c r="C73" t="s">
        <v>398</v>
      </c>
      <c r="D73" t="s">
        <v>406</v>
      </c>
      <c r="O73">
        <f t="shared" si="1"/>
        <v>0</v>
      </c>
    </row>
    <row r="74" spans="1:15">
      <c r="A74">
        <v>70</v>
      </c>
      <c r="B74" t="s">
        <v>407</v>
      </c>
      <c r="C74" t="s">
        <v>408</v>
      </c>
      <c r="D74" t="s">
        <v>409</v>
      </c>
      <c r="O74">
        <f t="shared" si="1"/>
        <v>0</v>
      </c>
    </row>
    <row r="75" spans="1:15">
      <c r="A75">
        <v>71</v>
      </c>
      <c r="B75" t="s">
        <v>407</v>
      </c>
      <c r="C75" t="s">
        <v>408</v>
      </c>
      <c r="D75" t="s">
        <v>410</v>
      </c>
      <c r="O75">
        <f t="shared" si="1"/>
        <v>0</v>
      </c>
    </row>
    <row r="76" spans="1:15">
      <c r="A76">
        <v>72</v>
      </c>
      <c r="B76" t="s">
        <v>411</v>
      </c>
      <c r="C76" t="s">
        <v>412</v>
      </c>
      <c r="D76" t="s">
        <v>409</v>
      </c>
      <c r="O76">
        <f t="shared" si="1"/>
        <v>0</v>
      </c>
    </row>
    <row r="77" spans="1:15">
      <c r="A77">
        <v>73</v>
      </c>
      <c r="B77" t="s">
        <v>411</v>
      </c>
      <c r="C77" t="s">
        <v>412</v>
      </c>
      <c r="D77" t="s">
        <v>413</v>
      </c>
      <c r="O77">
        <f t="shared" si="1"/>
        <v>0</v>
      </c>
    </row>
    <row r="78" spans="1:15">
      <c r="A78">
        <v>74</v>
      </c>
      <c r="B78" t="s">
        <v>414</v>
      </c>
      <c r="C78" t="s">
        <v>412</v>
      </c>
      <c r="D78" t="s">
        <v>409</v>
      </c>
      <c r="O78">
        <f t="shared" si="1"/>
        <v>0</v>
      </c>
    </row>
    <row r="79" spans="1:15">
      <c r="A79">
        <v>75</v>
      </c>
      <c r="B79" t="s">
        <v>414</v>
      </c>
      <c r="C79" t="s">
        <v>412</v>
      </c>
      <c r="D79" t="s">
        <v>413</v>
      </c>
      <c r="O79">
        <f t="shared" si="1"/>
        <v>0</v>
      </c>
    </row>
    <row r="80" spans="1:15">
      <c r="A80">
        <v>76</v>
      </c>
      <c r="B80" t="s">
        <v>415</v>
      </c>
      <c r="C80" t="s">
        <v>416</v>
      </c>
      <c r="D80" t="s">
        <v>410</v>
      </c>
      <c r="O80">
        <f t="shared" si="1"/>
        <v>0</v>
      </c>
    </row>
    <row r="81" spans="1:15">
      <c r="A81">
        <v>77</v>
      </c>
      <c r="B81" t="s">
        <v>417</v>
      </c>
      <c r="C81" t="s">
        <v>418</v>
      </c>
      <c r="D81" t="s">
        <v>410</v>
      </c>
      <c r="O81">
        <f t="shared" si="1"/>
        <v>0</v>
      </c>
    </row>
    <row r="82" spans="1:15">
      <c r="A82">
        <v>78</v>
      </c>
      <c r="B82" t="s">
        <v>419</v>
      </c>
      <c r="C82" t="s">
        <v>420</v>
      </c>
      <c r="D82" t="s">
        <v>421</v>
      </c>
      <c r="O82">
        <f t="shared" si="1"/>
        <v>0</v>
      </c>
    </row>
    <row r="83" spans="1:15">
      <c r="A83">
        <v>79</v>
      </c>
      <c r="B83" t="s">
        <v>419</v>
      </c>
      <c r="C83" t="s">
        <v>420</v>
      </c>
      <c r="D83" t="s">
        <v>409</v>
      </c>
      <c r="O83">
        <f t="shared" si="1"/>
        <v>0</v>
      </c>
    </row>
    <row r="84" spans="1:15">
      <c r="A84">
        <v>80</v>
      </c>
      <c r="B84" t="s">
        <v>419</v>
      </c>
      <c r="C84" t="s">
        <v>420</v>
      </c>
      <c r="D84" t="s">
        <v>422</v>
      </c>
      <c r="O84">
        <f t="shared" si="1"/>
        <v>0</v>
      </c>
    </row>
    <row r="85" spans="1:15">
      <c r="A85">
        <v>81</v>
      </c>
      <c r="B85" t="s">
        <v>423</v>
      </c>
      <c r="C85" t="s">
        <v>424</v>
      </c>
      <c r="D85" t="s">
        <v>425</v>
      </c>
      <c r="O85">
        <f t="shared" si="1"/>
        <v>0</v>
      </c>
    </row>
    <row r="86" spans="1:15">
      <c r="A86">
        <v>82</v>
      </c>
      <c r="B86" t="s">
        <v>426</v>
      </c>
      <c r="C86" t="s">
        <v>427</v>
      </c>
      <c r="D86" t="s">
        <v>428</v>
      </c>
      <c r="O86">
        <f t="shared" si="1"/>
        <v>0</v>
      </c>
    </row>
    <row r="87" spans="1:15">
      <c r="A87">
        <v>83</v>
      </c>
      <c r="B87" t="s">
        <v>426</v>
      </c>
      <c r="C87" t="s">
        <v>427</v>
      </c>
      <c r="D87" t="s">
        <v>429</v>
      </c>
      <c r="O87">
        <f t="shared" si="1"/>
        <v>0</v>
      </c>
    </row>
    <row r="88" spans="1:15">
      <c r="A88">
        <v>84</v>
      </c>
      <c r="B88" t="s">
        <v>426</v>
      </c>
      <c r="C88" t="s">
        <v>427</v>
      </c>
      <c r="D88" t="s">
        <v>430</v>
      </c>
      <c r="O88">
        <f t="shared" si="1"/>
        <v>0</v>
      </c>
    </row>
    <row r="89" spans="1:15">
      <c r="A89">
        <v>85</v>
      </c>
      <c r="B89" t="s">
        <v>426</v>
      </c>
      <c r="C89" t="s">
        <v>427</v>
      </c>
      <c r="D89" t="s">
        <v>431</v>
      </c>
      <c r="O89">
        <f t="shared" si="1"/>
        <v>0</v>
      </c>
    </row>
    <row r="90" spans="1:15">
      <c r="A90">
        <v>86</v>
      </c>
      <c r="B90" t="s">
        <v>432</v>
      </c>
      <c r="C90" t="s">
        <v>433</v>
      </c>
      <c r="D90" t="s">
        <v>434</v>
      </c>
      <c r="O90">
        <f t="shared" si="1"/>
        <v>0</v>
      </c>
    </row>
    <row r="91" spans="1:15">
      <c r="A91">
        <v>87</v>
      </c>
      <c r="B91" t="s">
        <v>435</v>
      </c>
      <c r="C91" t="s">
        <v>436</v>
      </c>
      <c r="D91" t="s">
        <v>437</v>
      </c>
      <c r="O91">
        <f t="shared" si="1"/>
        <v>0</v>
      </c>
    </row>
    <row r="92" spans="1:15">
      <c r="A92">
        <v>88</v>
      </c>
      <c r="B92" t="s">
        <v>438</v>
      </c>
      <c r="C92" t="s">
        <v>436</v>
      </c>
      <c r="D92" t="s">
        <v>439</v>
      </c>
      <c r="O92">
        <f t="shared" si="1"/>
        <v>0</v>
      </c>
    </row>
    <row r="93" spans="1:15">
      <c r="A93">
        <v>89</v>
      </c>
      <c r="B93" t="s">
        <v>438</v>
      </c>
      <c r="C93" t="s">
        <v>436</v>
      </c>
      <c r="D93" t="s">
        <v>440</v>
      </c>
      <c r="O93">
        <f t="shared" si="1"/>
        <v>0</v>
      </c>
    </row>
    <row r="94" spans="1:15">
      <c r="A94">
        <v>90</v>
      </c>
      <c r="B94" t="s">
        <v>438</v>
      </c>
      <c r="C94" t="s">
        <v>436</v>
      </c>
      <c r="D94" t="s">
        <v>441</v>
      </c>
      <c r="O94">
        <f t="shared" si="1"/>
        <v>0</v>
      </c>
    </row>
    <row r="95" spans="1:15">
      <c r="A95">
        <v>91</v>
      </c>
      <c r="B95" t="s">
        <v>438</v>
      </c>
      <c r="C95" t="s">
        <v>436</v>
      </c>
      <c r="D95" t="s">
        <v>442</v>
      </c>
      <c r="O95">
        <f t="shared" si="1"/>
        <v>0</v>
      </c>
    </row>
    <row r="96" spans="1:15">
      <c r="A96">
        <v>92</v>
      </c>
      <c r="B96" t="s">
        <v>438</v>
      </c>
      <c r="C96" t="s">
        <v>436</v>
      </c>
      <c r="D96" t="s">
        <v>443</v>
      </c>
      <c r="O96">
        <f t="shared" si="1"/>
        <v>0</v>
      </c>
    </row>
    <row r="97" spans="1:15">
      <c r="A97">
        <v>93</v>
      </c>
      <c r="B97" t="s">
        <v>438</v>
      </c>
      <c r="C97" t="s">
        <v>436</v>
      </c>
      <c r="D97" t="s">
        <v>444</v>
      </c>
      <c r="O97">
        <f t="shared" si="1"/>
        <v>0</v>
      </c>
    </row>
    <row r="98" spans="1:15">
      <c r="A98">
        <v>94</v>
      </c>
      <c r="B98" t="s">
        <v>445</v>
      </c>
      <c r="C98" t="s">
        <v>446</v>
      </c>
      <c r="D98" t="s">
        <v>447</v>
      </c>
      <c r="O98">
        <f t="shared" si="1"/>
        <v>0</v>
      </c>
    </row>
    <row r="99" spans="1:15">
      <c r="A99">
        <v>95</v>
      </c>
      <c r="B99" t="s">
        <v>445</v>
      </c>
      <c r="C99" t="s">
        <v>446</v>
      </c>
      <c r="D99" t="s">
        <v>448</v>
      </c>
      <c r="O99">
        <f t="shared" si="1"/>
        <v>0</v>
      </c>
    </row>
    <row r="100" spans="1:15">
      <c r="A100">
        <v>96</v>
      </c>
      <c r="B100" t="s">
        <v>445</v>
      </c>
      <c r="C100" t="s">
        <v>446</v>
      </c>
      <c r="D100" t="s">
        <v>449</v>
      </c>
      <c r="O100">
        <f t="shared" si="1"/>
        <v>0</v>
      </c>
    </row>
    <row r="101" spans="1:15">
      <c r="A101">
        <v>97</v>
      </c>
      <c r="B101" t="s">
        <v>445</v>
      </c>
      <c r="C101" t="s">
        <v>446</v>
      </c>
      <c r="D101" t="s">
        <v>450</v>
      </c>
      <c r="O101">
        <f t="shared" si="1"/>
        <v>0</v>
      </c>
    </row>
    <row r="102" spans="1:15">
      <c r="A102">
        <v>98</v>
      </c>
      <c r="B102" t="s">
        <v>451</v>
      </c>
      <c r="C102" t="s">
        <v>452</v>
      </c>
      <c r="D102" t="s">
        <v>453</v>
      </c>
      <c r="O102">
        <f t="shared" si="1"/>
        <v>0</v>
      </c>
    </row>
    <row r="103" spans="1:15">
      <c r="A103">
        <v>99</v>
      </c>
      <c r="B103" t="s">
        <v>451</v>
      </c>
      <c r="C103" t="s">
        <v>452</v>
      </c>
      <c r="D103" t="s">
        <v>454</v>
      </c>
      <c r="O103">
        <f t="shared" si="1"/>
        <v>0</v>
      </c>
    </row>
  </sheetData>
  <phoneticPr fontId="18"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7DE8E-03E1-4BB6-81F7-762B5E3F09D3}">
  <dimension ref="A1:E4"/>
  <sheetViews>
    <sheetView workbookViewId="0"/>
  </sheetViews>
  <sheetFormatPr defaultRowHeight="13.9"/>
  <sheetData>
    <row r="1" spans="1:5">
      <c r="A1" t="s">
        <v>455</v>
      </c>
      <c r="B1" t="s">
        <v>456</v>
      </c>
      <c r="C1" t="s">
        <v>457</v>
      </c>
      <c r="D1" t="s">
        <v>458</v>
      </c>
      <c r="E1" t="s">
        <v>459</v>
      </c>
    </row>
    <row r="2" spans="1:5">
      <c r="A2">
        <v>2</v>
      </c>
      <c r="B2">
        <v>42044</v>
      </c>
      <c r="C2" t="s">
        <v>460</v>
      </c>
      <c r="D2" t="s">
        <v>461</v>
      </c>
      <c r="E2" t="s">
        <v>462</v>
      </c>
    </row>
    <row r="3" spans="1:5">
      <c r="A3">
        <v>3</v>
      </c>
      <c r="B3">
        <v>42670</v>
      </c>
      <c r="C3" t="s">
        <v>463</v>
      </c>
      <c r="D3" t="s">
        <v>464</v>
      </c>
      <c r="E3" t="s">
        <v>465</v>
      </c>
    </row>
    <row r="4" spans="1:5">
      <c r="A4">
        <v>4</v>
      </c>
      <c r="B4">
        <v>43813</v>
      </c>
      <c r="C4" t="s">
        <v>466</v>
      </c>
      <c r="D4" t="s">
        <v>467</v>
      </c>
      <c r="E4" t="s">
        <v>468</v>
      </c>
    </row>
  </sheetData>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简介 </vt:lpstr>
      <vt:lpstr>Intro</vt:lpstr>
      <vt:lpstr>定义 + 严重性，出现频度，检查</vt:lpstr>
      <vt:lpstr>Definitions + Sev, Occ, Det</vt:lpstr>
      <vt:lpstr>FMEA (CN)</vt:lpstr>
      <vt:lpstr>FMEA(EN)</vt:lpstr>
      <vt:lpstr>修订历史</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chi zhang</cp:lastModifiedBy>
  <dcterms:created xsi:type="dcterms:W3CDTF">2025-05-23T15:07:34Z</dcterms:created>
  <dcterms:modified xsi:type="dcterms:W3CDTF">2025-05-23T15:07:34Z</dcterms:modified>
</cp:coreProperties>
</file>